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G:\TablueProjectsheet\"/>
    </mc:Choice>
  </mc:AlternateContent>
  <xr:revisionPtr revIDLastSave="0" documentId="13_ncr:1_{E7E4222B-8F7A-4D63-B7FB-B28377EAF5B4}" xr6:coauthVersionLast="47" xr6:coauthVersionMax="47" xr10:uidLastSave="{00000000-0000-0000-0000-000000000000}"/>
  <bookViews>
    <workbookView xWindow="-110" yWindow="-110" windowWidth="19420" windowHeight="10300" activeTab="3" xr2:uid="{9D2DE2A1-80FE-4B1D-A57B-F66E50C447C8}"/>
  </bookViews>
  <sheets>
    <sheet name="Dashboard" sheetId="4" r:id="rId1"/>
    <sheet name="Sheet5" sheetId="5" r:id="rId2"/>
    <sheet name="Sheet6" sheetId="6" r:id="rId3"/>
    <sheet name="Data" sheetId="1" r:id="rId4"/>
  </sheets>
  <definedNames>
    <definedName name="Slicer_item">#N/A</definedName>
    <definedName name="Slicer_Sell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 i="5" l="1"/>
  <c r="D4" i="5" s="1"/>
  <c r="C5" i="5"/>
  <c r="D5" i="5" s="1"/>
  <c r="C6" i="5"/>
  <c r="D6" i="5" s="1"/>
  <c r="C7" i="5"/>
  <c r="D7" i="5" s="1"/>
</calcChain>
</file>

<file path=xl/sharedStrings.xml><?xml version="1.0" encoding="utf-8"?>
<sst xmlns="http://schemas.openxmlformats.org/spreadsheetml/2006/main" count="539" uniqueCount="28">
  <si>
    <t>Seller</t>
  </si>
  <si>
    <t>region</t>
  </si>
  <si>
    <t>item</t>
  </si>
  <si>
    <t>sale</t>
  </si>
  <si>
    <t>Ap Enterprise</t>
  </si>
  <si>
    <t>east</t>
  </si>
  <si>
    <t>Mouse</t>
  </si>
  <si>
    <t>Pc Zone</t>
  </si>
  <si>
    <t>west</t>
  </si>
  <si>
    <t>Keyboard</t>
  </si>
  <si>
    <t>Super Pc</t>
  </si>
  <si>
    <t>north</t>
  </si>
  <si>
    <t>Printer</t>
  </si>
  <si>
    <t>Abc Enterprise</t>
  </si>
  <si>
    <t>south</t>
  </si>
  <si>
    <t>Wireless Mouse</t>
  </si>
  <si>
    <t>New Computers</t>
  </si>
  <si>
    <t>Modern Tech</t>
  </si>
  <si>
    <t>Super Tech</t>
  </si>
  <si>
    <t>Scanner</t>
  </si>
  <si>
    <t>Pendrive</t>
  </si>
  <si>
    <t>Hard Disk</t>
  </si>
  <si>
    <t>Speaker</t>
  </si>
  <si>
    <t>Cpu</t>
  </si>
  <si>
    <t>Monitor</t>
  </si>
  <si>
    <t>Row Labels</t>
  </si>
  <si>
    <t>Grand Total</t>
  </si>
  <si>
    <t>Sum of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</si>
</sst>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xf numFmtId="0" fontId="0" fillId="0" borderId="1" xfId="0" applyBorder="1"/>
    <xf numFmtId="0" fontId="0" fillId="0" borderId="0" xfId="0" pivotButton="1"/>
    <xf numFmtId="0" fontId="0" fillId="0" borderId="0" xfId="0" applyAlignment="1">
      <alignment horizontal="left"/>
    </xf>
    <xf numFmtId="10" fontId="0" fillId="0" borderId="0" xfId="0" applyNumberFormat="1"/>
    <xf numFmtId="0" fontId="0" fillId="3" borderId="0" xfId="0" applyFill="1"/>
    <xf numFmtId="9" fontId="0" fillId="0" borderId="0" xfId="0" applyNumberFormat="1"/>
  </cellXfs>
  <cellStyles count="1">
    <cellStyle name="Normal" xfId="0" builtinId="0"/>
  </cellStyles>
  <dxfs count="0"/>
  <tableStyles count="0" defaultTableStyle="TableStyleMedium2" defaultPivotStyle="PivotStyleLight16"/>
  <colors>
    <mruColors>
      <color rgb="FF99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79704322673953"/>
          <c:y val="2.1681889763779529E-2"/>
          <c:w val="0.87692307692307692"/>
          <c:h val="0.88601036269430056"/>
        </c:manualLayout>
      </c:layout>
      <c:doughnutChart>
        <c:varyColors val="1"/>
        <c:ser>
          <c:idx val="0"/>
          <c:order val="0"/>
          <c:spPr>
            <a:ln>
              <a:noFill/>
            </a:ln>
          </c:spPr>
          <c:dPt>
            <c:idx val="0"/>
            <c:bubble3D val="0"/>
            <c:spPr>
              <a:solidFill>
                <a:schemeClr val="accent1"/>
              </a:solidFill>
              <a:ln w="12700" cap="flat" cmpd="sng" algn="ctr">
                <a:noFill/>
                <a:prstDash val="solid"/>
                <a:miter lim="800000"/>
              </a:ln>
              <a:effectLst/>
            </c:spPr>
            <c:extLst>
              <c:ext xmlns:c16="http://schemas.microsoft.com/office/drawing/2014/chart" uri="{C3380CC4-5D6E-409C-BE32-E72D297353CC}">
                <c16:uniqueId val="{00000001-64B8-444A-A47C-CFF01291E137}"/>
              </c:ext>
            </c:extLst>
          </c:dPt>
          <c:dPt>
            <c:idx val="1"/>
            <c:bubble3D val="0"/>
            <c:spPr>
              <a:solidFill>
                <a:schemeClr val="accent1">
                  <a:alpha val="40000"/>
                </a:schemeClr>
              </a:solidFill>
              <a:ln w="12700" cap="flat" cmpd="sng" algn="ctr">
                <a:noFill/>
                <a:prstDash val="solid"/>
                <a:miter lim="800000"/>
              </a:ln>
              <a:effectLst/>
            </c:spPr>
            <c:extLst>
              <c:ext xmlns:c16="http://schemas.microsoft.com/office/drawing/2014/chart" uri="{C3380CC4-5D6E-409C-BE32-E72D297353CC}">
                <c16:uniqueId val="{00000003-64B8-444A-A47C-CFF01291E137}"/>
              </c:ext>
            </c:extLst>
          </c:dPt>
          <c:dPt>
            <c:idx val="2"/>
            <c:bubble3D val="0"/>
            <c:spPr>
              <a:noFill/>
              <a:ln w="19050">
                <a:noFill/>
              </a:ln>
              <a:effectLst/>
            </c:spPr>
            <c:extLst>
              <c:ext xmlns:c16="http://schemas.microsoft.com/office/drawing/2014/chart" uri="{C3380CC4-5D6E-409C-BE32-E72D297353CC}">
                <c16:uniqueId val="{00000005-64B8-444A-A47C-CFF01291E137}"/>
              </c:ext>
            </c:extLst>
          </c:dPt>
          <c:val>
            <c:numRef>
              <c:f>Sheet5!$C$4:$E$4</c:f>
              <c:numCache>
                <c:formatCode>0.00%</c:formatCode>
                <c:ptCount val="3"/>
                <c:pt idx="0">
                  <c:v>0.22488832163369496</c:v>
                </c:pt>
                <c:pt idx="1">
                  <c:v>0.77511167836630501</c:v>
                </c:pt>
                <c:pt idx="2" formatCode="0%">
                  <c:v>1</c:v>
                </c:pt>
              </c:numCache>
            </c:numRef>
          </c:val>
          <c:extLst>
            <c:ext xmlns:c16="http://schemas.microsoft.com/office/drawing/2014/chart" uri="{C3380CC4-5D6E-409C-BE32-E72D297353CC}">
              <c16:uniqueId val="{00000006-64B8-444A-A47C-CFF01291E137}"/>
            </c:ext>
          </c:extLst>
        </c:ser>
        <c:dLbls>
          <c:showLegendKey val="0"/>
          <c:showVal val="0"/>
          <c:showCatName val="0"/>
          <c:showSerName val="0"/>
          <c:showPercent val="0"/>
          <c:showBubbleSize val="0"/>
          <c:showLeaderLines val="1"/>
        </c:dLbls>
        <c:firstSliceAng val="27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769082436124062E-2"/>
          <c:y val="2.1681889763779529E-2"/>
          <c:w val="0.87692307692307692"/>
          <c:h val="0.88601036269430056"/>
        </c:manualLayout>
      </c:layout>
      <c:doughnutChart>
        <c:varyColors val="1"/>
        <c:ser>
          <c:idx val="0"/>
          <c:order val="0"/>
          <c:dPt>
            <c:idx val="0"/>
            <c:bubble3D val="0"/>
            <c:spPr>
              <a:solidFill>
                <a:schemeClr val="accent6"/>
              </a:solidFill>
              <a:ln w="12700" cap="flat" cmpd="sng" algn="ctr">
                <a:noFill/>
                <a:prstDash val="solid"/>
                <a:miter lim="800000"/>
              </a:ln>
              <a:effectLst/>
            </c:spPr>
            <c:extLst>
              <c:ext xmlns:c16="http://schemas.microsoft.com/office/drawing/2014/chart" uri="{C3380CC4-5D6E-409C-BE32-E72D297353CC}">
                <c16:uniqueId val="{00000001-0F00-484A-9551-644E388A7E69}"/>
              </c:ext>
            </c:extLst>
          </c:dPt>
          <c:dPt>
            <c:idx val="1"/>
            <c:bubble3D val="0"/>
            <c:spPr>
              <a:solidFill>
                <a:schemeClr val="accent6">
                  <a:alpha val="40000"/>
                </a:schemeClr>
              </a:solidFill>
              <a:ln w="12700" cap="flat" cmpd="sng" algn="ctr">
                <a:noFill/>
                <a:prstDash val="solid"/>
                <a:miter lim="800000"/>
              </a:ln>
              <a:effectLst/>
            </c:spPr>
            <c:extLst>
              <c:ext xmlns:c16="http://schemas.microsoft.com/office/drawing/2014/chart" uri="{C3380CC4-5D6E-409C-BE32-E72D297353CC}">
                <c16:uniqueId val="{00000003-0F00-484A-9551-644E388A7E69}"/>
              </c:ext>
            </c:extLst>
          </c:dPt>
          <c:dPt>
            <c:idx val="2"/>
            <c:bubble3D val="0"/>
            <c:spPr>
              <a:noFill/>
              <a:ln w="19050">
                <a:noFill/>
              </a:ln>
              <a:effectLst/>
            </c:spPr>
            <c:extLst>
              <c:ext xmlns:c16="http://schemas.microsoft.com/office/drawing/2014/chart" uri="{C3380CC4-5D6E-409C-BE32-E72D297353CC}">
                <c16:uniqueId val="{00000005-0F00-484A-9551-644E388A7E69}"/>
              </c:ext>
            </c:extLst>
          </c:dPt>
          <c:val>
            <c:numRef>
              <c:f>Sheet5!$C$5:$E$5</c:f>
              <c:numCache>
                <c:formatCode>0.00%</c:formatCode>
                <c:ptCount val="3"/>
                <c:pt idx="0">
                  <c:v>0.36451818761965538</c:v>
                </c:pt>
                <c:pt idx="1">
                  <c:v>0.63548181238034462</c:v>
                </c:pt>
                <c:pt idx="2" formatCode="0%">
                  <c:v>1</c:v>
                </c:pt>
              </c:numCache>
            </c:numRef>
          </c:val>
          <c:extLst>
            <c:ext xmlns:c16="http://schemas.microsoft.com/office/drawing/2014/chart" uri="{C3380CC4-5D6E-409C-BE32-E72D297353CC}">
              <c16:uniqueId val="{00000006-0F00-484A-9551-644E388A7E69}"/>
            </c:ext>
          </c:extLst>
        </c:ser>
        <c:dLbls>
          <c:showLegendKey val="0"/>
          <c:showVal val="0"/>
          <c:showCatName val="0"/>
          <c:showSerName val="0"/>
          <c:showPercent val="0"/>
          <c:showBubbleSize val="0"/>
          <c:showLeaderLines val="1"/>
        </c:dLbls>
        <c:firstSliceAng val="27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769082436124062E-2"/>
          <c:y val="2.1681889763779529E-2"/>
          <c:w val="0.87692307692307692"/>
          <c:h val="0.8860103626943005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31-4C18-A0F2-D116E31421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31-4C18-A0F2-D116E314211F}"/>
              </c:ext>
            </c:extLst>
          </c:dPt>
          <c:dPt>
            <c:idx val="2"/>
            <c:bubble3D val="0"/>
            <c:spPr>
              <a:noFill/>
              <a:ln w="19050">
                <a:noFill/>
              </a:ln>
              <a:effectLst/>
            </c:spPr>
            <c:extLst>
              <c:ext xmlns:c16="http://schemas.microsoft.com/office/drawing/2014/chart" uri="{C3380CC4-5D6E-409C-BE32-E72D297353CC}">
                <c16:uniqueId val="{00000005-4F31-4C18-A0F2-D116E314211F}"/>
              </c:ext>
            </c:extLst>
          </c:dPt>
          <c:val>
            <c:numRef>
              <c:f>Sheet5!$C$6:$E$6</c:f>
              <c:numCache>
                <c:formatCode>0.00%</c:formatCode>
                <c:ptCount val="3"/>
                <c:pt idx="0">
                  <c:v>0.18353541799617104</c:v>
                </c:pt>
                <c:pt idx="1">
                  <c:v>0.81646458200382899</c:v>
                </c:pt>
                <c:pt idx="2" formatCode="0%">
                  <c:v>1</c:v>
                </c:pt>
              </c:numCache>
            </c:numRef>
          </c:val>
          <c:extLst>
            <c:ext xmlns:c16="http://schemas.microsoft.com/office/drawing/2014/chart" uri="{C3380CC4-5D6E-409C-BE32-E72D297353CC}">
              <c16:uniqueId val="{00000006-4F31-4C18-A0F2-D116E314211F}"/>
            </c:ext>
          </c:extLst>
        </c:ser>
        <c:dLbls>
          <c:showLegendKey val="0"/>
          <c:showVal val="0"/>
          <c:showCatName val="0"/>
          <c:showSerName val="0"/>
          <c:showPercent val="0"/>
          <c:showBubbleSize val="0"/>
          <c:showLeaderLines val="1"/>
        </c:dLbls>
        <c:firstSliceAng val="27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769082436124062E-2"/>
          <c:y val="2.1681889763779529E-2"/>
          <c:w val="0.87692307692307692"/>
          <c:h val="0.88601036269430056"/>
        </c:manualLayout>
      </c:layout>
      <c:doughnutChart>
        <c:varyColors val="1"/>
        <c:ser>
          <c:idx val="0"/>
          <c:order val="0"/>
          <c:spPr>
            <a:ln>
              <a:noFill/>
            </a:ln>
          </c:spPr>
          <c:dPt>
            <c:idx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cap="flat" cmpd="sng" algn="ctr">
                <a:noFill/>
                <a:prstDash val="solid"/>
                <a:miter lim="800000"/>
              </a:ln>
              <a:effectLst/>
            </c:spPr>
            <c:extLst>
              <c:ext xmlns:c16="http://schemas.microsoft.com/office/drawing/2014/chart" uri="{C3380CC4-5D6E-409C-BE32-E72D297353CC}">
                <c16:uniqueId val="{00000001-A96A-40C5-A809-B0C16873BA61}"/>
              </c:ext>
            </c:extLst>
          </c:dPt>
          <c:dPt>
            <c:idx val="1"/>
            <c:bubble3D val="0"/>
            <c:spPr>
              <a:gradFill rotWithShape="1">
                <a:gsLst>
                  <a:gs pos="0">
                    <a:schemeClr val="accent4">
                      <a:satMod val="103000"/>
                      <a:lumMod val="102000"/>
                      <a:tint val="94000"/>
                      <a:alpha val="40000"/>
                    </a:schemeClr>
                  </a:gs>
                  <a:gs pos="50000">
                    <a:schemeClr val="accent4">
                      <a:satMod val="110000"/>
                      <a:lumMod val="100000"/>
                      <a:shade val="100000"/>
                    </a:schemeClr>
                  </a:gs>
                  <a:gs pos="100000">
                    <a:schemeClr val="accent4">
                      <a:lumMod val="99000"/>
                      <a:satMod val="120000"/>
                      <a:shade val="78000"/>
                    </a:schemeClr>
                  </a:gs>
                </a:gsLst>
                <a:lin ang="5400000" scaled="0"/>
              </a:gradFill>
              <a:ln w="6350" cap="flat" cmpd="sng" algn="ctr">
                <a:noFill/>
                <a:prstDash val="solid"/>
                <a:miter lim="800000"/>
              </a:ln>
              <a:effectLst/>
            </c:spPr>
            <c:extLst>
              <c:ext xmlns:c16="http://schemas.microsoft.com/office/drawing/2014/chart" uri="{C3380CC4-5D6E-409C-BE32-E72D297353CC}">
                <c16:uniqueId val="{00000003-A96A-40C5-A809-B0C16873BA61}"/>
              </c:ext>
            </c:extLst>
          </c:dPt>
          <c:dPt>
            <c:idx val="2"/>
            <c:bubble3D val="0"/>
            <c:spPr>
              <a:noFill/>
              <a:ln w="19050">
                <a:noFill/>
              </a:ln>
              <a:effectLst/>
            </c:spPr>
            <c:extLst>
              <c:ext xmlns:c16="http://schemas.microsoft.com/office/drawing/2014/chart" uri="{C3380CC4-5D6E-409C-BE32-E72D297353CC}">
                <c16:uniqueId val="{00000005-A96A-40C5-A809-B0C16873BA61}"/>
              </c:ext>
            </c:extLst>
          </c:dPt>
          <c:val>
            <c:numRef>
              <c:f>Sheet5!$C$7:$E$7</c:f>
              <c:numCache>
                <c:formatCode>0.00%</c:formatCode>
                <c:ptCount val="3"/>
                <c:pt idx="0">
                  <c:v>0.22705807275047862</c:v>
                </c:pt>
                <c:pt idx="1">
                  <c:v>0.77294192724952138</c:v>
                </c:pt>
                <c:pt idx="2" formatCode="0%">
                  <c:v>1</c:v>
                </c:pt>
              </c:numCache>
            </c:numRef>
          </c:val>
          <c:extLst>
            <c:ext xmlns:c16="http://schemas.microsoft.com/office/drawing/2014/chart" uri="{C3380CC4-5D6E-409C-BE32-E72D297353CC}">
              <c16:uniqueId val="{00000006-A96A-40C5-A809-B0C16873BA61}"/>
            </c:ext>
          </c:extLst>
        </c:ser>
        <c:dLbls>
          <c:showLegendKey val="0"/>
          <c:showVal val="0"/>
          <c:showCatName val="0"/>
          <c:showSerName val="0"/>
          <c:showPercent val="0"/>
          <c:showBubbleSize val="0"/>
          <c:showLeaderLines val="1"/>
        </c:dLbls>
        <c:firstSliceAng val="27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[Excelldashboard.xlsx]Sheet6!PivotTable2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20033628469952"/>
          <c:y val="9.1190002794532335E-4"/>
          <c:w val="0.76400196850393698"/>
          <c:h val="0.89814814814814814"/>
        </c:manualLayout>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Sheet6!$A$4:$A$11</c:f>
              <c:strCache>
                <c:ptCount val="7"/>
                <c:pt idx="0">
                  <c:v>Abc Enterprise</c:v>
                </c:pt>
                <c:pt idx="1">
                  <c:v>Ap Enterprise</c:v>
                </c:pt>
                <c:pt idx="2">
                  <c:v>Modern Tech</c:v>
                </c:pt>
                <c:pt idx="3">
                  <c:v>New Computers</c:v>
                </c:pt>
                <c:pt idx="4">
                  <c:v>Pc Zone</c:v>
                </c:pt>
                <c:pt idx="5">
                  <c:v>Super Pc</c:v>
                </c:pt>
                <c:pt idx="6">
                  <c:v>Super Tech</c:v>
                </c:pt>
              </c:strCache>
            </c:strRef>
          </c:cat>
          <c:val>
            <c:numRef>
              <c:f>Sheet6!$B$4:$B$11</c:f>
              <c:numCache>
                <c:formatCode>0.00%</c:formatCode>
                <c:ptCount val="7"/>
                <c:pt idx="0">
                  <c:v>0.15124441608168473</c:v>
                </c:pt>
                <c:pt idx="1">
                  <c:v>9.7255902999361835E-2</c:v>
                </c:pt>
                <c:pt idx="2">
                  <c:v>0.15443522654754308</c:v>
                </c:pt>
                <c:pt idx="3">
                  <c:v>0.15252074026802809</c:v>
                </c:pt>
                <c:pt idx="4">
                  <c:v>0.14652201659221442</c:v>
                </c:pt>
                <c:pt idx="5">
                  <c:v>0.1557115507338864</c:v>
                </c:pt>
                <c:pt idx="6">
                  <c:v>0.14231014677728143</c:v>
                </c:pt>
              </c:numCache>
            </c:numRef>
          </c:val>
          <c:extLst>
            <c:ext xmlns:c16="http://schemas.microsoft.com/office/drawing/2014/chart" uri="{C3380CC4-5D6E-409C-BE32-E72D297353CC}">
              <c16:uniqueId val="{00000000-6151-49B7-9DB0-F6A90ECEB5E1}"/>
            </c:ext>
          </c:extLst>
        </c:ser>
        <c:dLbls>
          <c:showLegendKey val="0"/>
          <c:showVal val="0"/>
          <c:showCatName val="0"/>
          <c:showSerName val="0"/>
          <c:showPercent val="0"/>
          <c:showBubbleSize val="0"/>
        </c:dLbls>
        <c:gapWidth val="182"/>
        <c:axId val="411994288"/>
        <c:axId val="411995008"/>
      </c:barChart>
      <c:catAx>
        <c:axId val="411994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995008"/>
        <c:crosses val="autoZero"/>
        <c:auto val="1"/>
        <c:lblAlgn val="ctr"/>
        <c:lblOffset val="100"/>
        <c:noMultiLvlLbl val="0"/>
      </c:catAx>
      <c:valAx>
        <c:axId val="411995008"/>
        <c:scaling>
          <c:orientation val="minMax"/>
        </c:scaling>
        <c:delete val="1"/>
        <c:axPos val="b"/>
        <c:numFmt formatCode="0.00%" sourceLinked="1"/>
        <c:majorTickMark val="none"/>
        <c:minorTickMark val="none"/>
        <c:tickLblPos val="nextTo"/>
        <c:crossAx val="41199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79704322673953"/>
          <c:y val="2.1681889763779529E-2"/>
          <c:w val="0.87692307692307692"/>
          <c:h val="0.88601036269430056"/>
        </c:manualLayout>
      </c:layout>
      <c:doughnutChart>
        <c:varyColors val="1"/>
        <c:ser>
          <c:idx val="0"/>
          <c:order val="0"/>
          <c:spPr>
            <a:ln>
              <a:noFill/>
            </a:ln>
          </c:spPr>
          <c:dPt>
            <c:idx val="0"/>
            <c:bubble3D val="0"/>
            <c:spPr>
              <a:solidFill>
                <a:schemeClr val="accent1"/>
              </a:solidFill>
              <a:ln w="12700" cap="flat" cmpd="sng" algn="ctr">
                <a:noFill/>
                <a:prstDash val="solid"/>
                <a:miter lim="800000"/>
              </a:ln>
              <a:effectLst/>
            </c:spPr>
            <c:extLst>
              <c:ext xmlns:c16="http://schemas.microsoft.com/office/drawing/2014/chart" uri="{C3380CC4-5D6E-409C-BE32-E72D297353CC}">
                <c16:uniqueId val="{00000002-7E82-46EB-96DE-BF09DFE33BE6}"/>
              </c:ext>
            </c:extLst>
          </c:dPt>
          <c:dPt>
            <c:idx val="1"/>
            <c:bubble3D val="0"/>
            <c:spPr>
              <a:solidFill>
                <a:schemeClr val="accent1">
                  <a:alpha val="40000"/>
                </a:schemeClr>
              </a:solidFill>
              <a:ln w="12700" cap="flat" cmpd="sng" algn="ctr">
                <a:noFill/>
                <a:prstDash val="solid"/>
                <a:miter lim="800000"/>
              </a:ln>
              <a:effectLst/>
            </c:spPr>
            <c:extLst>
              <c:ext xmlns:c16="http://schemas.microsoft.com/office/drawing/2014/chart" uri="{C3380CC4-5D6E-409C-BE32-E72D297353CC}">
                <c16:uniqueId val="{00000003-7E82-46EB-96DE-BF09DFE33BE6}"/>
              </c:ext>
            </c:extLst>
          </c:dPt>
          <c:dPt>
            <c:idx val="2"/>
            <c:bubble3D val="0"/>
            <c:spPr>
              <a:noFill/>
              <a:ln w="19050">
                <a:noFill/>
              </a:ln>
              <a:effectLst/>
            </c:spPr>
            <c:extLst>
              <c:ext xmlns:c16="http://schemas.microsoft.com/office/drawing/2014/chart" uri="{C3380CC4-5D6E-409C-BE32-E72D297353CC}">
                <c16:uniqueId val="{00000001-7E82-46EB-96DE-BF09DFE33BE6}"/>
              </c:ext>
            </c:extLst>
          </c:dPt>
          <c:val>
            <c:numRef>
              <c:f>Sheet5!$C$4:$E$4</c:f>
              <c:numCache>
                <c:formatCode>0.00%</c:formatCode>
                <c:ptCount val="3"/>
                <c:pt idx="0">
                  <c:v>0.22488832163369496</c:v>
                </c:pt>
                <c:pt idx="1">
                  <c:v>0.77511167836630501</c:v>
                </c:pt>
                <c:pt idx="2" formatCode="0%">
                  <c:v>1</c:v>
                </c:pt>
              </c:numCache>
            </c:numRef>
          </c:val>
          <c:extLst>
            <c:ext xmlns:c16="http://schemas.microsoft.com/office/drawing/2014/chart" uri="{C3380CC4-5D6E-409C-BE32-E72D297353CC}">
              <c16:uniqueId val="{00000000-7E82-46EB-96DE-BF09DFE33BE6}"/>
            </c:ext>
          </c:extLst>
        </c:ser>
        <c:dLbls>
          <c:showLegendKey val="0"/>
          <c:showVal val="0"/>
          <c:showCatName val="0"/>
          <c:showSerName val="0"/>
          <c:showPercent val="0"/>
          <c:showBubbleSize val="0"/>
          <c:showLeaderLines val="1"/>
        </c:dLbls>
        <c:firstSliceAng val="27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769082436124062E-2"/>
          <c:y val="2.1681889763779529E-2"/>
          <c:w val="0.87692307692307692"/>
          <c:h val="0.88601036269430056"/>
        </c:manualLayout>
      </c:layout>
      <c:doughnutChart>
        <c:varyColors val="1"/>
        <c:ser>
          <c:idx val="0"/>
          <c:order val="0"/>
          <c:dPt>
            <c:idx val="0"/>
            <c:bubble3D val="0"/>
            <c:spPr>
              <a:solidFill>
                <a:schemeClr val="accent6"/>
              </a:solidFill>
              <a:ln w="12700" cap="flat" cmpd="sng" algn="ctr">
                <a:noFill/>
                <a:prstDash val="solid"/>
                <a:miter lim="800000"/>
              </a:ln>
              <a:effectLst/>
            </c:spPr>
            <c:extLst>
              <c:ext xmlns:c16="http://schemas.microsoft.com/office/drawing/2014/chart" uri="{C3380CC4-5D6E-409C-BE32-E72D297353CC}">
                <c16:uniqueId val="{00000001-FB92-41D7-964A-282954A70B01}"/>
              </c:ext>
            </c:extLst>
          </c:dPt>
          <c:dPt>
            <c:idx val="1"/>
            <c:bubble3D val="0"/>
            <c:spPr>
              <a:solidFill>
                <a:schemeClr val="accent6">
                  <a:alpha val="40000"/>
                </a:schemeClr>
              </a:solidFill>
              <a:ln w="12700" cap="flat" cmpd="sng" algn="ctr">
                <a:noFill/>
                <a:prstDash val="solid"/>
                <a:miter lim="800000"/>
              </a:ln>
              <a:effectLst/>
            </c:spPr>
            <c:extLst>
              <c:ext xmlns:c16="http://schemas.microsoft.com/office/drawing/2014/chart" uri="{C3380CC4-5D6E-409C-BE32-E72D297353CC}">
                <c16:uniqueId val="{00000003-FB92-41D7-964A-282954A70B01}"/>
              </c:ext>
            </c:extLst>
          </c:dPt>
          <c:dPt>
            <c:idx val="2"/>
            <c:bubble3D val="0"/>
            <c:spPr>
              <a:noFill/>
              <a:ln w="19050">
                <a:noFill/>
              </a:ln>
              <a:effectLst/>
            </c:spPr>
            <c:extLst>
              <c:ext xmlns:c16="http://schemas.microsoft.com/office/drawing/2014/chart" uri="{C3380CC4-5D6E-409C-BE32-E72D297353CC}">
                <c16:uniqueId val="{00000005-FB92-41D7-964A-282954A70B01}"/>
              </c:ext>
            </c:extLst>
          </c:dPt>
          <c:val>
            <c:numRef>
              <c:f>Sheet5!$C$5:$E$5</c:f>
              <c:numCache>
                <c:formatCode>0.00%</c:formatCode>
                <c:ptCount val="3"/>
                <c:pt idx="0">
                  <c:v>0.36451818761965538</c:v>
                </c:pt>
                <c:pt idx="1">
                  <c:v>0.63548181238034462</c:v>
                </c:pt>
                <c:pt idx="2" formatCode="0%">
                  <c:v>1</c:v>
                </c:pt>
              </c:numCache>
            </c:numRef>
          </c:val>
          <c:extLst>
            <c:ext xmlns:c16="http://schemas.microsoft.com/office/drawing/2014/chart" uri="{C3380CC4-5D6E-409C-BE32-E72D297353CC}">
              <c16:uniqueId val="{00000006-FB92-41D7-964A-282954A70B01}"/>
            </c:ext>
          </c:extLst>
        </c:ser>
        <c:dLbls>
          <c:showLegendKey val="0"/>
          <c:showVal val="0"/>
          <c:showCatName val="0"/>
          <c:showSerName val="0"/>
          <c:showPercent val="0"/>
          <c:showBubbleSize val="0"/>
          <c:showLeaderLines val="1"/>
        </c:dLbls>
        <c:firstSliceAng val="27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769082436124062E-2"/>
          <c:y val="2.1681889763779529E-2"/>
          <c:w val="0.87692307692307692"/>
          <c:h val="0.8860103626943005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4D-4D01-AE4C-F94778AE1D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4D-4D01-AE4C-F94778AE1DBA}"/>
              </c:ext>
            </c:extLst>
          </c:dPt>
          <c:dPt>
            <c:idx val="2"/>
            <c:bubble3D val="0"/>
            <c:spPr>
              <a:noFill/>
              <a:ln w="19050">
                <a:noFill/>
              </a:ln>
              <a:effectLst/>
            </c:spPr>
            <c:extLst>
              <c:ext xmlns:c16="http://schemas.microsoft.com/office/drawing/2014/chart" uri="{C3380CC4-5D6E-409C-BE32-E72D297353CC}">
                <c16:uniqueId val="{00000005-4E4D-4D01-AE4C-F94778AE1DBA}"/>
              </c:ext>
            </c:extLst>
          </c:dPt>
          <c:val>
            <c:numRef>
              <c:f>Sheet5!$C$6:$E$6</c:f>
              <c:numCache>
                <c:formatCode>0.00%</c:formatCode>
                <c:ptCount val="3"/>
                <c:pt idx="0">
                  <c:v>0.18353541799617104</c:v>
                </c:pt>
                <c:pt idx="1">
                  <c:v>0.81646458200382899</c:v>
                </c:pt>
                <c:pt idx="2" formatCode="0%">
                  <c:v>1</c:v>
                </c:pt>
              </c:numCache>
            </c:numRef>
          </c:val>
          <c:extLst>
            <c:ext xmlns:c16="http://schemas.microsoft.com/office/drawing/2014/chart" uri="{C3380CC4-5D6E-409C-BE32-E72D297353CC}">
              <c16:uniqueId val="{00000006-4E4D-4D01-AE4C-F94778AE1DBA}"/>
            </c:ext>
          </c:extLst>
        </c:ser>
        <c:dLbls>
          <c:showLegendKey val="0"/>
          <c:showVal val="0"/>
          <c:showCatName val="0"/>
          <c:showSerName val="0"/>
          <c:showPercent val="0"/>
          <c:showBubbleSize val="0"/>
          <c:showLeaderLines val="1"/>
        </c:dLbls>
        <c:firstSliceAng val="27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769082436124062E-2"/>
          <c:y val="2.1681889763779529E-2"/>
          <c:w val="0.87692307692307692"/>
          <c:h val="0.88601036269430056"/>
        </c:manualLayout>
      </c:layout>
      <c:doughnutChart>
        <c:varyColors val="1"/>
        <c:ser>
          <c:idx val="0"/>
          <c:order val="0"/>
          <c:spPr>
            <a:ln>
              <a:noFill/>
            </a:ln>
          </c:spPr>
          <c:dPt>
            <c:idx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cap="flat" cmpd="sng" algn="ctr">
                <a:noFill/>
                <a:prstDash val="solid"/>
                <a:miter lim="800000"/>
              </a:ln>
              <a:effectLst/>
            </c:spPr>
            <c:extLst>
              <c:ext xmlns:c16="http://schemas.microsoft.com/office/drawing/2014/chart" uri="{C3380CC4-5D6E-409C-BE32-E72D297353CC}">
                <c16:uniqueId val="{00000001-D7D1-4116-8759-C97DBD168F92}"/>
              </c:ext>
            </c:extLst>
          </c:dPt>
          <c:dPt>
            <c:idx val="1"/>
            <c:bubble3D val="0"/>
            <c:spPr>
              <a:gradFill rotWithShape="1">
                <a:gsLst>
                  <a:gs pos="0">
                    <a:schemeClr val="accent4">
                      <a:satMod val="103000"/>
                      <a:lumMod val="102000"/>
                      <a:tint val="94000"/>
                      <a:alpha val="40000"/>
                    </a:schemeClr>
                  </a:gs>
                  <a:gs pos="50000">
                    <a:schemeClr val="accent4">
                      <a:satMod val="110000"/>
                      <a:lumMod val="100000"/>
                      <a:shade val="100000"/>
                    </a:schemeClr>
                  </a:gs>
                  <a:gs pos="100000">
                    <a:schemeClr val="accent4">
                      <a:lumMod val="99000"/>
                      <a:satMod val="120000"/>
                      <a:shade val="78000"/>
                    </a:schemeClr>
                  </a:gs>
                </a:gsLst>
                <a:lin ang="5400000" scaled="0"/>
              </a:gradFill>
              <a:ln w="6350" cap="flat" cmpd="sng" algn="ctr">
                <a:noFill/>
                <a:prstDash val="solid"/>
                <a:miter lim="800000"/>
              </a:ln>
              <a:effectLst/>
            </c:spPr>
            <c:extLst>
              <c:ext xmlns:c16="http://schemas.microsoft.com/office/drawing/2014/chart" uri="{C3380CC4-5D6E-409C-BE32-E72D297353CC}">
                <c16:uniqueId val="{00000003-D7D1-4116-8759-C97DBD168F92}"/>
              </c:ext>
            </c:extLst>
          </c:dPt>
          <c:dPt>
            <c:idx val="2"/>
            <c:bubble3D val="0"/>
            <c:spPr>
              <a:noFill/>
              <a:ln w="19050">
                <a:noFill/>
              </a:ln>
              <a:effectLst/>
            </c:spPr>
            <c:extLst>
              <c:ext xmlns:c16="http://schemas.microsoft.com/office/drawing/2014/chart" uri="{C3380CC4-5D6E-409C-BE32-E72D297353CC}">
                <c16:uniqueId val="{00000005-D7D1-4116-8759-C97DBD168F92}"/>
              </c:ext>
            </c:extLst>
          </c:dPt>
          <c:val>
            <c:numRef>
              <c:f>Sheet5!$C$7:$E$7</c:f>
              <c:numCache>
                <c:formatCode>0.00%</c:formatCode>
                <c:ptCount val="3"/>
                <c:pt idx="0">
                  <c:v>0.22705807275047862</c:v>
                </c:pt>
                <c:pt idx="1">
                  <c:v>0.77294192724952138</c:v>
                </c:pt>
                <c:pt idx="2" formatCode="0%">
                  <c:v>1</c:v>
                </c:pt>
              </c:numCache>
            </c:numRef>
          </c:val>
          <c:extLst>
            <c:ext xmlns:c16="http://schemas.microsoft.com/office/drawing/2014/chart" uri="{C3380CC4-5D6E-409C-BE32-E72D297353CC}">
              <c16:uniqueId val="{00000006-D7D1-4116-8759-C97DBD168F92}"/>
            </c:ext>
          </c:extLst>
        </c:ser>
        <c:dLbls>
          <c:showLegendKey val="0"/>
          <c:showVal val="0"/>
          <c:showCatName val="0"/>
          <c:showSerName val="0"/>
          <c:showPercent val="0"/>
          <c:showBubbleSize val="0"/>
          <c:showLeaderLines val="1"/>
        </c:dLbls>
        <c:firstSliceAng val="27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[Excelldashboard.xlsx]Sheet6!PivotTable2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Sheet6!$A$4:$A$11</c:f>
              <c:strCache>
                <c:ptCount val="7"/>
                <c:pt idx="0">
                  <c:v>Abc Enterprise</c:v>
                </c:pt>
                <c:pt idx="1">
                  <c:v>Ap Enterprise</c:v>
                </c:pt>
                <c:pt idx="2">
                  <c:v>Modern Tech</c:v>
                </c:pt>
                <c:pt idx="3">
                  <c:v>New Computers</c:v>
                </c:pt>
                <c:pt idx="4">
                  <c:v>Pc Zone</c:v>
                </c:pt>
                <c:pt idx="5">
                  <c:v>Super Pc</c:v>
                </c:pt>
                <c:pt idx="6">
                  <c:v>Super Tech</c:v>
                </c:pt>
              </c:strCache>
            </c:strRef>
          </c:cat>
          <c:val>
            <c:numRef>
              <c:f>Sheet6!$B$4:$B$11</c:f>
              <c:numCache>
                <c:formatCode>0.00%</c:formatCode>
                <c:ptCount val="7"/>
                <c:pt idx="0">
                  <c:v>0.15124441608168473</c:v>
                </c:pt>
                <c:pt idx="1">
                  <c:v>9.7255902999361835E-2</c:v>
                </c:pt>
                <c:pt idx="2">
                  <c:v>0.15443522654754308</c:v>
                </c:pt>
                <c:pt idx="3">
                  <c:v>0.15252074026802809</c:v>
                </c:pt>
                <c:pt idx="4">
                  <c:v>0.14652201659221442</c:v>
                </c:pt>
                <c:pt idx="5">
                  <c:v>0.1557115507338864</c:v>
                </c:pt>
                <c:pt idx="6">
                  <c:v>0.14231014677728143</c:v>
                </c:pt>
              </c:numCache>
            </c:numRef>
          </c:val>
          <c:extLst>
            <c:ext xmlns:c16="http://schemas.microsoft.com/office/drawing/2014/chart" uri="{C3380CC4-5D6E-409C-BE32-E72D297353CC}">
              <c16:uniqueId val="{00000000-FF62-4593-AE07-AB1A7044A44C}"/>
            </c:ext>
          </c:extLst>
        </c:ser>
        <c:dLbls>
          <c:showLegendKey val="0"/>
          <c:showVal val="0"/>
          <c:showCatName val="0"/>
          <c:showSerName val="0"/>
          <c:showPercent val="0"/>
          <c:showBubbleSize val="0"/>
        </c:dLbls>
        <c:gapWidth val="182"/>
        <c:axId val="411994288"/>
        <c:axId val="411995008"/>
      </c:barChart>
      <c:catAx>
        <c:axId val="411994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995008"/>
        <c:crosses val="autoZero"/>
        <c:auto val="1"/>
        <c:lblAlgn val="ctr"/>
        <c:lblOffset val="100"/>
        <c:noMultiLvlLbl val="0"/>
      </c:catAx>
      <c:valAx>
        <c:axId val="411995008"/>
        <c:scaling>
          <c:orientation val="minMax"/>
        </c:scaling>
        <c:delete val="1"/>
        <c:axPos val="b"/>
        <c:numFmt formatCode="0.00%" sourceLinked="1"/>
        <c:majorTickMark val="none"/>
        <c:minorTickMark val="none"/>
        <c:tickLblPos val="nextTo"/>
        <c:crossAx val="41199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444500</xdr:colOff>
      <xdr:row>0</xdr:row>
      <xdr:rowOff>63500</xdr:rowOff>
    </xdr:from>
    <xdr:to>
      <xdr:col>18</xdr:col>
      <xdr:colOff>603250</xdr:colOff>
      <xdr:row>3</xdr:row>
      <xdr:rowOff>127000</xdr:rowOff>
    </xdr:to>
    <mc:AlternateContent xmlns:mc="http://schemas.openxmlformats.org/markup-compatibility/2006" xmlns:a14="http://schemas.microsoft.com/office/drawing/2010/main">
      <mc:Choice Requires="a14">
        <xdr:graphicFrame macro="">
          <xdr:nvGraphicFramePr>
            <xdr:cNvPr id="2" name="Seller 1">
              <a:extLst>
                <a:ext uri="{FF2B5EF4-FFF2-40B4-BE49-F238E27FC236}">
                  <a16:creationId xmlns:a16="http://schemas.microsoft.com/office/drawing/2014/main" id="{FA336875-F43A-4B0B-8108-033F5C8E82D7}"/>
                </a:ext>
              </a:extLst>
            </xdr:cNvPr>
            <xdr:cNvGraphicFramePr/>
          </xdr:nvGraphicFramePr>
          <xdr:xfrm>
            <a:off x="0" y="0"/>
            <a:ext cx="0" cy="0"/>
          </xdr:xfrm>
          <a:graphic>
            <a:graphicData uri="http://schemas.microsoft.com/office/drawing/2010/slicer">
              <sle:slicer xmlns:sle="http://schemas.microsoft.com/office/drawing/2010/slicer" name="Seller 1"/>
            </a:graphicData>
          </a:graphic>
        </xdr:graphicFrame>
      </mc:Choice>
      <mc:Fallback xmlns="">
        <xdr:sp macro="" textlink="">
          <xdr:nvSpPr>
            <xdr:cNvPr id="0" name=""/>
            <xdr:cNvSpPr>
              <a:spLocks noTextEdit="1"/>
            </xdr:cNvSpPr>
          </xdr:nvSpPr>
          <xdr:spPr>
            <a:xfrm>
              <a:off x="444500" y="63500"/>
              <a:ext cx="10750550" cy="61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442385</xdr:colOff>
      <xdr:row>3</xdr:row>
      <xdr:rowOff>171450</xdr:rowOff>
    </xdr:from>
    <xdr:to>
      <xdr:col>3</xdr:col>
      <xdr:colOff>437446</xdr:colOff>
      <xdr:row>23</xdr:row>
      <xdr:rowOff>176389</xdr:rowOff>
    </xdr:to>
    <mc:AlternateContent xmlns:mc="http://schemas.openxmlformats.org/markup-compatibility/2006" xmlns:a14="http://schemas.microsoft.com/office/drawing/2010/main">
      <mc:Choice Requires="a14">
        <xdr:graphicFrame macro="">
          <xdr:nvGraphicFramePr>
            <xdr:cNvPr id="3" name="item 1">
              <a:extLst>
                <a:ext uri="{FF2B5EF4-FFF2-40B4-BE49-F238E27FC236}">
                  <a16:creationId xmlns:a16="http://schemas.microsoft.com/office/drawing/2014/main" id="{A5495BAE-5320-480E-BD83-66FA87B178BD}"/>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442385" y="721783"/>
              <a:ext cx="1815394" cy="36738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546100</xdr:colOff>
      <xdr:row>3</xdr:row>
      <xdr:rowOff>139700</xdr:rowOff>
    </xdr:from>
    <xdr:to>
      <xdr:col>7</xdr:col>
      <xdr:colOff>268112</xdr:colOff>
      <xdr:row>13</xdr:row>
      <xdr:rowOff>148166</xdr:rowOff>
    </xdr:to>
    <xdr:graphicFrame macro="">
      <xdr:nvGraphicFramePr>
        <xdr:cNvPr id="4" name="Chart 3">
          <a:extLst>
            <a:ext uri="{FF2B5EF4-FFF2-40B4-BE49-F238E27FC236}">
              <a16:creationId xmlns:a16="http://schemas.microsoft.com/office/drawing/2014/main" id="{BD10B9C5-1C0E-4379-B130-D6B8627C7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400050</xdr:colOff>
      <xdr:row>7</xdr:row>
      <xdr:rowOff>44450</xdr:rowOff>
    </xdr:from>
    <xdr:to>
      <xdr:col>6</xdr:col>
      <xdr:colOff>463550</xdr:colOff>
      <xdr:row>8</xdr:row>
      <xdr:rowOff>101600</xdr:rowOff>
    </xdr:to>
    <xdr:sp macro="" textlink="Sheet5!$C$4">
      <xdr:nvSpPr>
        <xdr:cNvPr id="5" name="Rectangle 4">
          <a:extLst>
            <a:ext uri="{FF2B5EF4-FFF2-40B4-BE49-F238E27FC236}">
              <a16:creationId xmlns:a16="http://schemas.microsoft.com/office/drawing/2014/main" id="{5CE16BB7-4E83-4826-A6EB-FB9A9BAA1756}"/>
            </a:ext>
          </a:extLst>
        </xdr:cNvPr>
        <xdr:cNvSpPr/>
      </xdr:nvSpPr>
      <xdr:spPr>
        <a:xfrm>
          <a:off x="2838450" y="1333500"/>
          <a:ext cx="1282700"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E0049F6-7185-440A-963E-2966F38A3C00}" type="TxLink">
            <a:rPr lang="en-US" sz="1200" b="1" i="0" u="none" strike="noStrike">
              <a:solidFill>
                <a:srgbClr val="000000"/>
              </a:solidFill>
              <a:latin typeface="Calibri"/>
              <a:ea typeface="Calibri"/>
              <a:cs typeface="Calibri"/>
            </a:rPr>
            <a:pPr algn="ctr"/>
            <a:t>22.49%</a:t>
          </a:fld>
          <a:endParaRPr lang="en-US" sz="1200" b="1"/>
        </a:p>
      </xdr:txBody>
    </xdr:sp>
    <xdr:clientData/>
  </xdr:twoCellAnchor>
  <xdr:twoCellAnchor>
    <xdr:from>
      <xdr:col>5</xdr:col>
      <xdr:colOff>101600</xdr:colOff>
      <xdr:row>6</xdr:row>
      <xdr:rowOff>6350</xdr:rowOff>
    </xdr:from>
    <xdr:to>
      <xdr:col>6</xdr:col>
      <xdr:colOff>222250</xdr:colOff>
      <xdr:row>7</xdr:row>
      <xdr:rowOff>76200</xdr:rowOff>
    </xdr:to>
    <xdr:sp macro="" textlink="">
      <xdr:nvSpPr>
        <xdr:cNvPr id="6" name="Rectangle 5">
          <a:extLst>
            <a:ext uri="{FF2B5EF4-FFF2-40B4-BE49-F238E27FC236}">
              <a16:creationId xmlns:a16="http://schemas.microsoft.com/office/drawing/2014/main" id="{AC3E921C-7E29-48D8-82B0-B1B9D44AF7D2}"/>
            </a:ext>
          </a:extLst>
        </xdr:cNvPr>
        <xdr:cNvSpPr/>
      </xdr:nvSpPr>
      <xdr:spPr>
        <a:xfrm>
          <a:off x="3149600" y="1111250"/>
          <a:ext cx="730250" cy="25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0070C0"/>
              </a:solidFill>
            </a:rPr>
            <a:t>EAST</a:t>
          </a:r>
        </a:p>
      </xdr:txBody>
    </xdr:sp>
    <xdr:clientData/>
  </xdr:twoCellAnchor>
  <xdr:twoCellAnchor>
    <xdr:from>
      <xdr:col>7</xdr:col>
      <xdr:colOff>438150</xdr:colOff>
      <xdr:row>3</xdr:row>
      <xdr:rowOff>127001</xdr:rowOff>
    </xdr:from>
    <xdr:to>
      <xdr:col>11</xdr:col>
      <xdr:colOff>84666</xdr:colOff>
      <xdr:row>13</xdr:row>
      <xdr:rowOff>176390</xdr:rowOff>
    </xdr:to>
    <xdr:graphicFrame macro="">
      <xdr:nvGraphicFramePr>
        <xdr:cNvPr id="7" name="Chart 6">
          <a:extLst>
            <a:ext uri="{FF2B5EF4-FFF2-40B4-BE49-F238E27FC236}">
              <a16:creationId xmlns:a16="http://schemas.microsoft.com/office/drawing/2014/main" id="{0F7CB190-3D4A-4795-BBAA-F99AA2C5E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292100</xdr:colOff>
      <xdr:row>7</xdr:row>
      <xdr:rowOff>31750</xdr:rowOff>
    </xdr:from>
    <xdr:to>
      <xdr:col>10</xdr:col>
      <xdr:colOff>355600</xdr:colOff>
      <xdr:row>8</xdr:row>
      <xdr:rowOff>88900</xdr:rowOff>
    </xdr:to>
    <xdr:sp macro="" textlink="Sheet5!$C$5">
      <xdr:nvSpPr>
        <xdr:cNvPr id="8" name="Rectangle 7">
          <a:extLst>
            <a:ext uri="{FF2B5EF4-FFF2-40B4-BE49-F238E27FC236}">
              <a16:creationId xmlns:a16="http://schemas.microsoft.com/office/drawing/2014/main" id="{F39A64F6-0CA2-46B8-966B-049029F53DB5}"/>
            </a:ext>
          </a:extLst>
        </xdr:cNvPr>
        <xdr:cNvSpPr/>
      </xdr:nvSpPr>
      <xdr:spPr>
        <a:xfrm>
          <a:off x="5168900" y="1320800"/>
          <a:ext cx="1282700"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5FC2954-38F4-4851-B615-384F7F1AA9A9}" type="TxLink">
            <a:rPr lang="en-US" sz="1200" b="1" i="0" u="none" strike="noStrike">
              <a:solidFill>
                <a:srgbClr val="000000"/>
              </a:solidFill>
              <a:latin typeface="Calibri"/>
              <a:ea typeface="Calibri"/>
              <a:cs typeface="Calibri"/>
            </a:rPr>
            <a:pPr algn="ctr"/>
            <a:t>36.45%</a:t>
          </a:fld>
          <a:endParaRPr lang="en-US" sz="1200" b="1"/>
        </a:p>
      </xdr:txBody>
    </xdr:sp>
    <xdr:clientData/>
  </xdr:twoCellAnchor>
  <xdr:twoCellAnchor>
    <xdr:from>
      <xdr:col>8</xdr:col>
      <xdr:colOff>603250</xdr:colOff>
      <xdr:row>5</xdr:row>
      <xdr:rowOff>177800</xdr:rowOff>
    </xdr:from>
    <xdr:to>
      <xdr:col>10</xdr:col>
      <xdr:colOff>114300</xdr:colOff>
      <xdr:row>7</xdr:row>
      <xdr:rowOff>63500</xdr:rowOff>
    </xdr:to>
    <xdr:sp macro="" textlink="">
      <xdr:nvSpPr>
        <xdr:cNvPr id="9" name="Rectangle 8">
          <a:extLst>
            <a:ext uri="{FF2B5EF4-FFF2-40B4-BE49-F238E27FC236}">
              <a16:creationId xmlns:a16="http://schemas.microsoft.com/office/drawing/2014/main" id="{19ED0440-D2AA-4093-88C0-EC374196BBDB}"/>
            </a:ext>
          </a:extLst>
        </xdr:cNvPr>
        <xdr:cNvSpPr/>
      </xdr:nvSpPr>
      <xdr:spPr>
        <a:xfrm>
          <a:off x="5480050" y="1098550"/>
          <a:ext cx="730250" cy="25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0070C0"/>
              </a:solidFill>
            </a:rPr>
            <a:t>NORTH</a:t>
          </a:r>
        </a:p>
      </xdr:txBody>
    </xdr:sp>
    <xdr:clientData/>
  </xdr:twoCellAnchor>
  <xdr:twoCellAnchor>
    <xdr:from>
      <xdr:col>3</xdr:col>
      <xdr:colOff>539751</xdr:colOff>
      <xdr:row>14</xdr:row>
      <xdr:rowOff>90312</xdr:rowOff>
    </xdr:from>
    <xdr:to>
      <xdr:col>7</xdr:col>
      <xdr:colOff>239890</xdr:colOff>
      <xdr:row>24</xdr:row>
      <xdr:rowOff>42333</xdr:rowOff>
    </xdr:to>
    <xdr:graphicFrame macro="">
      <xdr:nvGraphicFramePr>
        <xdr:cNvPr id="10" name="Chart 9">
          <a:extLst>
            <a:ext uri="{FF2B5EF4-FFF2-40B4-BE49-F238E27FC236}">
              <a16:creationId xmlns:a16="http://schemas.microsoft.com/office/drawing/2014/main" id="{DD789C8C-37AB-41DD-A985-80035239A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393700</xdr:colOff>
      <xdr:row>17</xdr:row>
      <xdr:rowOff>179210</xdr:rowOff>
    </xdr:from>
    <xdr:to>
      <xdr:col>6</xdr:col>
      <xdr:colOff>457200</xdr:colOff>
      <xdr:row>19</xdr:row>
      <xdr:rowOff>52916</xdr:rowOff>
    </xdr:to>
    <xdr:sp macro="" textlink="Sheet5!$C$6">
      <xdr:nvSpPr>
        <xdr:cNvPr id="11" name="Rectangle 10">
          <a:extLst>
            <a:ext uri="{FF2B5EF4-FFF2-40B4-BE49-F238E27FC236}">
              <a16:creationId xmlns:a16="http://schemas.microsoft.com/office/drawing/2014/main" id="{E05A113C-781E-4A69-9016-C7EE8F55F6C9}"/>
            </a:ext>
          </a:extLst>
        </xdr:cNvPr>
        <xdr:cNvSpPr/>
      </xdr:nvSpPr>
      <xdr:spPr>
        <a:xfrm>
          <a:off x="2820811" y="3297766"/>
          <a:ext cx="1277056" cy="2405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E1F8B09-ACDC-42DF-A895-B12494730B6C}" type="TxLink">
            <a:rPr lang="en-US" sz="1200" b="1" i="0" u="none" strike="noStrike">
              <a:solidFill>
                <a:srgbClr val="000000"/>
              </a:solidFill>
              <a:latin typeface="Calibri"/>
              <a:ea typeface="Calibri"/>
              <a:cs typeface="Calibri"/>
            </a:rPr>
            <a:pPr algn="ctr"/>
            <a:t>18.35%</a:t>
          </a:fld>
          <a:endParaRPr lang="en-US" sz="1200" b="1"/>
        </a:p>
      </xdr:txBody>
    </xdr:sp>
    <xdr:clientData/>
  </xdr:twoCellAnchor>
  <xdr:twoCellAnchor>
    <xdr:from>
      <xdr:col>5</xdr:col>
      <xdr:colOff>95250</xdr:colOff>
      <xdr:row>16</xdr:row>
      <xdr:rowOff>141111</xdr:rowOff>
    </xdr:from>
    <xdr:to>
      <xdr:col>6</xdr:col>
      <xdr:colOff>215900</xdr:colOff>
      <xdr:row>18</xdr:row>
      <xdr:rowOff>27516</xdr:rowOff>
    </xdr:to>
    <xdr:sp macro="" textlink="">
      <xdr:nvSpPr>
        <xdr:cNvPr id="12" name="Rectangle 11">
          <a:extLst>
            <a:ext uri="{FF2B5EF4-FFF2-40B4-BE49-F238E27FC236}">
              <a16:creationId xmlns:a16="http://schemas.microsoft.com/office/drawing/2014/main" id="{4FD7DB78-6E04-438C-B2AB-80C216121425}"/>
            </a:ext>
          </a:extLst>
        </xdr:cNvPr>
        <xdr:cNvSpPr/>
      </xdr:nvSpPr>
      <xdr:spPr>
        <a:xfrm>
          <a:off x="3129139" y="3076222"/>
          <a:ext cx="727428" cy="253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0070C0"/>
              </a:solidFill>
            </a:rPr>
            <a:t>SOUTH</a:t>
          </a:r>
        </a:p>
        <a:p>
          <a:pPr algn="ctr"/>
          <a:endParaRPr lang="en-US" sz="1400" b="1">
            <a:solidFill>
              <a:srgbClr val="0070C0"/>
            </a:solidFill>
          </a:endParaRPr>
        </a:p>
      </xdr:txBody>
    </xdr:sp>
    <xdr:clientData/>
  </xdr:twoCellAnchor>
  <xdr:twoCellAnchor>
    <xdr:from>
      <xdr:col>7</xdr:col>
      <xdr:colOff>436034</xdr:colOff>
      <xdr:row>14</xdr:row>
      <xdr:rowOff>105129</xdr:rowOff>
    </xdr:from>
    <xdr:to>
      <xdr:col>11</xdr:col>
      <xdr:colOff>84667</xdr:colOff>
      <xdr:row>24</xdr:row>
      <xdr:rowOff>35278</xdr:rowOff>
    </xdr:to>
    <xdr:graphicFrame macro="">
      <xdr:nvGraphicFramePr>
        <xdr:cNvPr id="13" name="Chart 12">
          <a:extLst>
            <a:ext uri="{FF2B5EF4-FFF2-40B4-BE49-F238E27FC236}">
              <a16:creationId xmlns:a16="http://schemas.microsoft.com/office/drawing/2014/main" id="{BD7FBEC1-A130-4A24-9A4A-B81E7D983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289984</xdr:colOff>
      <xdr:row>18</xdr:row>
      <xdr:rowOff>10583</xdr:rowOff>
    </xdr:from>
    <xdr:to>
      <xdr:col>10</xdr:col>
      <xdr:colOff>353484</xdr:colOff>
      <xdr:row>19</xdr:row>
      <xdr:rowOff>67733</xdr:rowOff>
    </xdr:to>
    <xdr:sp macro="" textlink="Sheet5!$C$7">
      <xdr:nvSpPr>
        <xdr:cNvPr id="14" name="Rectangle 13">
          <a:extLst>
            <a:ext uri="{FF2B5EF4-FFF2-40B4-BE49-F238E27FC236}">
              <a16:creationId xmlns:a16="http://schemas.microsoft.com/office/drawing/2014/main" id="{50614D9D-69FA-4E42-B61E-CAA8BF77E2A6}"/>
            </a:ext>
          </a:extLst>
        </xdr:cNvPr>
        <xdr:cNvSpPr/>
      </xdr:nvSpPr>
      <xdr:spPr>
        <a:xfrm>
          <a:off x="5144206" y="3312583"/>
          <a:ext cx="1277056" cy="2405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F5D5A48-5A4C-47B4-BD41-7F298029754F}" type="TxLink">
            <a:rPr lang="en-US" sz="1200" b="1" i="0" u="none" strike="noStrike">
              <a:solidFill>
                <a:srgbClr val="000000"/>
              </a:solidFill>
              <a:latin typeface="Calibri"/>
              <a:ea typeface="Calibri"/>
              <a:cs typeface="Calibri"/>
            </a:rPr>
            <a:pPr algn="ctr"/>
            <a:t>22.71%</a:t>
          </a:fld>
          <a:endParaRPr lang="en-US" sz="1200" b="1"/>
        </a:p>
      </xdr:txBody>
    </xdr:sp>
    <xdr:clientData/>
  </xdr:twoCellAnchor>
  <xdr:twoCellAnchor>
    <xdr:from>
      <xdr:col>8</xdr:col>
      <xdr:colOff>598312</xdr:colOff>
      <xdr:row>16</xdr:row>
      <xdr:rowOff>155928</xdr:rowOff>
    </xdr:from>
    <xdr:to>
      <xdr:col>10</xdr:col>
      <xdr:colOff>112184</xdr:colOff>
      <xdr:row>18</xdr:row>
      <xdr:rowOff>42333</xdr:rowOff>
    </xdr:to>
    <xdr:sp macro="" textlink="">
      <xdr:nvSpPr>
        <xdr:cNvPr id="15" name="Rectangle 14">
          <a:extLst>
            <a:ext uri="{FF2B5EF4-FFF2-40B4-BE49-F238E27FC236}">
              <a16:creationId xmlns:a16="http://schemas.microsoft.com/office/drawing/2014/main" id="{FDC1AF26-4E98-4EFF-97CB-8735FF7B872A}"/>
            </a:ext>
          </a:extLst>
        </xdr:cNvPr>
        <xdr:cNvSpPr/>
      </xdr:nvSpPr>
      <xdr:spPr>
        <a:xfrm>
          <a:off x="5452534" y="3091039"/>
          <a:ext cx="727428" cy="253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0070C0"/>
              </a:solidFill>
            </a:rPr>
            <a:t>WEST</a:t>
          </a:r>
        </a:p>
        <a:p>
          <a:pPr algn="ctr"/>
          <a:endParaRPr lang="en-US" sz="1400" b="1">
            <a:solidFill>
              <a:srgbClr val="0070C0"/>
            </a:solidFill>
          </a:endParaRPr>
        </a:p>
      </xdr:txBody>
    </xdr:sp>
    <xdr:clientData/>
  </xdr:twoCellAnchor>
  <xdr:twoCellAnchor>
    <xdr:from>
      <xdr:col>11</xdr:col>
      <xdr:colOff>141109</xdr:colOff>
      <xdr:row>3</xdr:row>
      <xdr:rowOff>126999</xdr:rowOff>
    </xdr:from>
    <xdr:to>
      <xdr:col>19</xdr:col>
      <xdr:colOff>0</xdr:colOff>
      <xdr:row>24</xdr:row>
      <xdr:rowOff>14110</xdr:rowOff>
    </xdr:to>
    <xdr:graphicFrame macro="">
      <xdr:nvGraphicFramePr>
        <xdr:cNvPr id="22" name="Chart 21">
          <a:extLst>
            <a:ext uri="{FF2B5EF4-FFF2-40B4-BE49-F238E27FC236}">
              <a16:creationId xmlns:a16="http://schemas.microsoft.com/office/drawing/2014/main" id="{A6A0F9D6-9AA5-4939-BEDA-67A266CA5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127000</xdr:colOff>
      <xdr:row>0</xdr:row>
      <xdr:rowOff>82550</xdr:rowOff>
    </xdr:from>
    <xdr:to>
      <xdr:col>15</xdr:col>
      <xdr:colOff>127000</xdr:colOff>
      <xdr:row>14</xdr:row>
      <xdr:rowOff>28575</xdr:rowOff>
    </xdr:to>
    <mc:AlternateContent xmlns:mc="http://schemas.openxmlformats.org/markup-compatibility/2006" xmlns:a14="http://schemas.microsoft.com/office/drawing/2010/main">
      <mc:Choice Requires="a14">
        <xdr:graphicFrame macro="">
          <xdr:nvGraphicFramePr>
            <xdr:cNvPr id="2" name="Seller">
              <a:extLst>
                <a:ext uri="{FF2B5EF4-FFF2-40B4-BE49-F238E27FC236}">
                  <a16:creationId xmlns:a16="http://schemas.microsoft.com/office/drawing/2014/main" id="{735E5BC9-1846-FF1E-632C-0DAC08BE8DE5}"/>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mlns="">
        <xdr:sp macro="" textlink="">
          <xdr:nvSpPr>
            <xdr:cNvPr id="0" name=""/>
            <xdr:cNvSpPr>
              <a:spLocks noTextEdit="1"/>
            </xdr:cNvSpPr>
          </xdr:nvSpPr>
          <xdr:spPr>
            <a:xfrm>
              <a:off x="7810500" y="82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228600</xdr:colOff>
      <xdr:row>0</xdr:row>
      <xdr:rowOff>88900</xdr:rowOff>
    </xdr:from>
    <xdr:to>
      <xdr:col>18</xdr:col>
      <xdr:colOff>228600</xdr:colOff>
      <xdr:row>14</xdr:row>
      <xdr:rowOff>34925</xdr:rowOff>
    </xdr:to>
    <mc:AlternateContent xmlns:mc="http://schemas.openxmlformats.org/markup-compatibility/2006" xmlns:a14="http://schemas.microsoft.com/office/drawing/2010/main">
      <mc:Choice Requires="a14">
        <xdr:graphicFrame macro="">
          <xdr:nvGraphicFramePr>
            <xdr:cNvPr id="3" name="item">
              <a:extLst>
                <a:ext uri="{FF2B5EF4-FFF2-40B4-BE49-F238E27FC236}">
                  <a16:creationId xmlns:a16="http://schemas.microsoft.com/office/drawing/2014/main" id="{F3928068-0D73-9480-0FF2-0A7195DC2440}"/>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9740900" y="88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95250</xdr:colOff>
      <xdr:row>8</xdr:row>
      <xdr:rowOff>88900</xdr:rowOff>
    </xdr:from>
    <xdr:to>
      <xdr:col>3</xdr:col>
      <xdr:colOff>76200</xdr:colOff>
      <xdr:row>19</xdr:row>
      <xdr:rowOff>127000</xdr:rowOff>
    </xdr:to>
    <xdr:graphicFrame macro="">
      <xdr:nvGraphicFramePr>
        <xdr:cNvPr id="4" name="Chart 3">
          <a:extLst>
            <a:ext uri="{FF2B5EF4-FFF2-40B4-BE49-F238E27FC236}">
              <a16:creationId xmlns:a16="http://schemas.microsoft.com/office/drawing/2014/main" id="{67FDAD19-2FAD-A38D-337B-892A1851C4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558800</xdr:colOff>
      <xdr:row>11</xdr:row>
      <xdr:rowOff>177800</xdr:rowOff>
    </xdr:from>
    <xdr:to>
      <xdr:col>2</xdr:col>
      <xdr:colOff>254000</xdr:colOff>
      <xdr:row>13</xdr:row>
      <xdr:rowOff>50800</xdr:rowOff>
    </xdr:to>
    <xdr:sp macro="" textlink="Sheet5!$C$4">
      <xdr:nvSpPr>
        <xdr:cNvPr id="5" name="Rectangle 4">
          <a:extLst>
            <a:ext uri="{FF2B5EF4-FFF2-40B4-BE49-F238E27FC236}">
              <a16:creationId xmlns:a16="http://schemas.microsoft.com/office/drawing/2014/main" id="{4A79EEAC-E66E-7363-84E7-B41B9AB4B864}"/>
            </a:ext>
          </a:extLst>
        </xdr:cNvPr>
        <xdr:cNvSpPr/>
      </xdr:nvSpPr>
      <xdr:spPr>
        <a:xfrm>
          <a:off x="558800" y="2203450"/>
          <a:ext cx="1282700"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E0049F6-7185-440A-963E-2966F38A3C00}" type="TxLink">
            <a:rPr lang="en-US" sz="1200" b="1" i="0" u="none" strike="noStrike">
              <a:solidFill>
                <a:srgbClr val="000000"/>
              </a:solidFill>
              <a:latin typeface="Calibri"/>
              <a:ea typeface="Calibri"/>
              <a:cs typeface="Calibri"/>
            </a:rPr>
            <a:pPr algn="ctr"/>
            <a:t>22.49%</a:t>
          </a:fld>
          <a:endParaRPr lang="en-US" sz="1200" b="1"/>
        </a:p>
      </xdr:txBody>
    </xdr:sp>
    <xdr:clientData/>
  </xdr:twoCellAnchor>
  <xdr:twoCellAnchor>
    <xdr:from>
      <xdr:col>1</xdr:col>
      <xdr:colOff>6350</xdr:colOff>
      <xdr:row>10</xdr:row>
      <xdr:rowOff>139700</xdr:rowOff>
    </xdr:from>
    <xdr:to>
      <xdr:col>2</xdr:col>
      <xdr:colOff>12700</xdr:colOff>
      <xdr:row>12</xdr:row>
      <xdr:rowOff>25400</xdr:rowOff>
    </xdr:to>
    <xdr:sp macro="" textlink="">
      <xdr:nvSpPr>
        <xdr:cNvPr id="6" name="Rectangle 5">
          <a:extLst>
            <a:ext uri="{FF2B5EF4-FFF2-40B4-BE49-F238E27FC236}">
              <a16:creationId xmlns:a16="http://schemas.microsoft.com/office/drawing/2014/main" id="{3C11DF66-E710-B865-89E4-6D7360B84F5D}"/>
            </a:ext>
          </a:extLst>
        </xdr:cNvPr>
        <xdr:cNvSpPr/>
      </xdr:nvSpPr>
      <xdr:spPr>
        <a:xfrm>
          <a:off x="869950" y="1981200"/>
          <a:ext cx="730250" cy="25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0070C0"/>
              </a:solidFill>
            </a:rPr>
            <a:t>EAST</a:t>
          </a:r>
        </a:p>
      </xdr:txBody>
    </xdr:sp>
    <xdr:clientData/>
  </xdr:twoCellAnchor>
  <xdr:twoCellAnchor>
    <xdr:from>
      <xdr:col>4</xdr:col>
      <xdr:colOff>0</xdr:colOff>
      <xdr:row>8</xdr:row>
      <xdr:rowOff>0</xdr:rowOff>
    </xdr:from>
    <xdr:to>
      <xdr:col>7</xdr:col>
      <xdr:colOff>349250</xdr:colOff>
      <xdr:row>19</xdr:row>
      <xdr:rowOff>38100</xdr:rowOff>
    </xdr:to>
    <xdr:graphicFrame macro="">
      <xdr:nvGraphicFramePr>
        <xdr:cNvPr id="7" name="Chart 6">
          <a:extLst>
            <a:ext uri="{FF2B5EF4-FFF2-40B4-BE49-F238E27FC236}">
              <a16:creationId xmlns:a16="http://schemas.microsoft.com/office/drawing/2014/main" id="{D94B19FE-7A93-4BA7-A197-9B0D367A9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463550</xdr:colOff>
      <xdr:row>11</xdr:row>
      <xdr:rowOff>88900</xdr:rowOff>
    </xdr:from>
    <xdr:to>
      <xdr:col>6</xdr:col>
      <xdr:colOff>527050</xdr:colOff>
      <xdr:row>12</xdr:row>
      <xdr:rowOff>146050</xdr:rowOff>
    </xdr:to>
    <xdr:sp macro="" textlink="Sheet5!$C$5">
      <xdr:nvSpPr>
        <xdr:cNvPr id="8" name="Rectangle 7">
          <a:extLst>
            <a:ext uri="{FF2B5EF4-FFF2-40B4-BE49-F238E27FC236}">
              <a16:creationId xmlns:a16="http://schemas.microsoft.com/office/drawing/2014/main" id="{00E693EF-54A8-4EAE-94CD-3F2C695F65D4}"/>
            </a:ext>
          </a:extLst>
        </xdr:cNvPr>
        <xdr:cNvSpPr/>
      </xdr:nvSpPr>
      <xdr:spPr>
        <a:xfrm>
          <a:off x="3270250" y="2114550"/>
          <a:ext cx="1282700"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5FC2954-38F4-4851-B615-384F7F1AA9A9}" type="TxLink">
            <a:rPr lang="en-US" sz="1200" b="1" i="0" u="none" strike="noStrike">
              <a:solidFill>
                <a:srgbClr val="000000"/>
              </a:solidFill>
              <a:latin typeface="Calibri"/>
              <a:ea typeface="Calibri"/>
              <a:cs typeface="Calibri"/>
            </a:rPr>
            <a:pPr algn="ctr"/>
            <a:t>36.45%</a:t>
          </a:fld>
          <a:endParaRPr lang="en-US" sz="1200" b="1"/>
        </a:p>
      </xdr:txBody>
    </xdr:sp>
    <xdr:clientData/>
  </xdr:twoCellAnchor>
  <xdr:twoCellAnchor>
    <xdr:from>
      <xdr:col>5</xdr:col>
      <xdr:colOff>165100</xdr:colOff>
      <xdr:row>10</xdr:row>
      <xdr:rowOff>50800</xdr:rowOff>
    </xdr:from>
    <xdr:to>
      <xdr:col>6</xdr:col>
      <xdr:colOff>285750</xdr:colOff>
      <xdr:row>11</xdr:row>
      <xdr:rowOff>120650</xdr:rowOff>
    </xdr:to>
    <xdr:sp macro="" textlink="">
      <xdr:nvSpPr>
        <xdr:cNvPr id="9" name="Rectangle 8">
          <a:extLst>
            <a:ext uri="{FF2B5EF4-FFF2-40B4-BE49-F238E27FC236}">
              <a16:creationId xmlns:a16="http://schemas.microsoft.com/office/drawing/2014/main" id="{22531FEE-8BA3-4674-8B77-9EFC1B5B1C2D}"/>
            </a:ext>
          </a:extLst>
        </xdr:cNvPr>
        <xdr:cNvSpPr/>
      </xdr:nvSpPr>
      <xdr:spPr>
        <a:xfrm>
          <a:off x="3581400" y="1892300"/>
          <a:ext cx="730250" cy="25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0070C0"/>
              </a:solidFill>
            </a:rPr>
            <a:t>NORTH</a:t>
          </a:r>
        </a:p>
      </xdr:txBody>
    </xdr:sp>
    <xdr:clientData/>
  </xdr:twoCellAnchor>
  <xdr:twoCellAnchor>
    <xdr:from>
      <xdr:col>0</xdr:col>
      <xdr:colOff>0</xdr:colOff>
      <xdr:row>21</xdr:row>
      <xdr:rowOff>0</xdr:rowOff>
    </xdr:from>
    <xdr:to>
      <xdr:col>2</xdr:col>
      <xdr:colOff>590550</xdr:colOff>
      <xdr:row>32</xdr:row>
      <xdr:rowOff>38100</xdr:rowOff>
    </xdr:to>
    <xdr:graphicFrame macro="">
      <xdr:nvGraphicFramePr>
        <xdr:cNvPr id="10" name="Chart 9">
          <a:extLst>
            <a:ext uri="{FF2B5EF4-FFF2-40B4-BE49-F238E27FC236}">
              <a16:creationId xmlns:a16="http://schemas.microsoft.com/office/drawing/2014/main" id="{985B7E9F-5B0A-405B-AA92-24D38F857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463550</xdr:colOff>
      <xdr:row>24</xdr:row>
      <xdr:rowOff>88900</xdr:rowOff>
    </xdr:from>
    <xdr:to>
      <xdr:col>2</xdr:col>
      <xdr:colOff>158750</xdr:colOff>
      <xdr:row>25</xdr:row>
      <xdr:rowOff>146050</xdr:rowOff>
    </xdr:to>
    <xdr:sp macro="" textlink="Sheet5!$C$6">
      <xdr:nvSpPr>
        <xdr:cNvPr id="11" name="Rectangle 10">
          <a:extLst>
            <a:ext uri="{FF2B5EF4-FFF2-40B4-BE49-F238E27FC236}">
              <a16:creationId xmlns:a16="http://schemas.microsoft.com/office/drawing/2014/main" id="{9F011B35-7BFF-4552-A73A-71FFDEDB4057}"/>
            </a:ext>
          </a:extLst>
        </xdr:cNvPr>
        <xdr:cNvSpPr/>
      </xdr:nvSpPr>
      <xdr:spPr>
        <a:xfrm>
          <a:off x="463550" y="4508500"/>
          <a:ext cx="1282700"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E1F8B09-ACDC-42DF-A895-B12494730B6C}" type="TxLink">
            <a:rPr lang="en-US" sz="1200" b="1" i="0" u="none" strike="noStrike">
              <a:solidFill>
                <a:srgbClr val="000000"/>
              </a:solidFill>
              <a:latin typeface="Calibri"/>
              <a:ea typeface="Calibri"/>
              <a:cs typeface="Calibri"/>
            </a:rPr>
            <a:pPr algn="ctr"/>
            <a:t>18.35%</a:t>
          </a:fld>
          <a:endParaRPr lang="en-US" sz="1200" b="1"/>
        </a:p>
      </xdr:txBody>
    </xdr:sp>
    <xdr:clientData/>
  </xdr:twoCellAnchor>
  <xdr:twoCellAnchor>
    <xdr:from>
      <xdr:col>0</xdr:col>
      <xdr:colOff>774700</xdr:colOff>
      <xdr:row>23</xdr:row>
      <xdr:rowOff>50800</xdr:rowOff>
    </xdr:from>
    <xdr:to>
      <xdr:col>1</xdr:col>
      <xdr:colOff>641350</xdr:colOff>
      <xdr:row>24</xdr:row>
      <xdr:rowOff>120650</xdr:rowOff>
    </xdr:to>
    <xdr:sp macro="" textlink="">
      <xdr:nvSpPr>
        <xdr:cNvPr id="12" name="Rectangle 11">
          <a:extLst>
            <a:ext uri="{FF2B5EF4-FFF2-40B4-BE49-F238E27FC236}">
              <a16:creationId xmlns:a16="http://schemas.microsoft.com/office/drawing/2014/main" id="{02D2CDC0-4CB3-41C2-8317-051AFD37C679}"/>
            </a:ext>
          </a:extLst>
        </xdr:cNvPr>
        <xdr:cNvSpPr/>
      </xdr:nvSpPr>
      <xdr:spPr>
        <a:xfrm>
          <a:off x="774700" y="4286250"/>
          <a:ext cx="730250" cy="25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0070C0"/>
              </a:solidFill>
            </a:rPr>
            <a:t>SOUTH</a:t>
          </a:r>
        </a:p>
        <a:p>
          <a:pPr algn="ctr"/>
          <a:endParaRPr lang="en-US" sz="1400" b="1">
            <a:solidFill>
              <a:srgbClr val="0070C0"/>
            </a:solidFill>
          </a:endParaRPr>
        </a:p>
      </xdr:txBody>
    </xdr:sp>
    <xdr:clientData/>
  </xdr:twoCellAnchor>
  <xdr:twoCellAnchor>
    <xdr:from>
      <xdr:col>4</xdr:col>
      <xdr:colOff>0</xdr:colOff>
      <xdr:row>21</xdr:row>
      <xdr:rowOff>0</xdr:rowOff>
    </xdr:from>
    <xdr:to>
      <xdr:col>7</xdr:col>
      <xdr:colOff>349250</xdr:colOff>
      <xdr:row>32</xdr:row>
      <xdr:rowOff>38100</xdr:rowOff>
    </xdr:to>
    <xdr:graphicFrame macro="">
      <xdr:nvGraphicFramePr>
        <xdr:cNvPr id="16" name="Chart 15">
          <a:extLst>
            <a:ext uri="{FF2B5EF4-FFF2-40B4-BE49-F238E27FC236}">
              <a16:creationId xmlns:a16="http://schemas.microsoft.com/office/drawing/2014/main" id="{75C3E258-6030-4B85-890B-14C5D8B5A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463550</xdr:colOff>
      <xdr:row>24</xdr:row>
      <xdr:rowOff>88900</xdr:rowOff>
    </xdr:from>
    <xdr:to>
      <xdr:col>6</xdr:col>
      <xdr:colOff>527050</xdr:colOff>
      <xdr:row>25</xdr:row>
      <xdr:rowOff>146050</xdr:rowOff>
    </xdr:to>
    <xdr:sp macro="" textlink="Sheet5!$C$7">
      <xdr:nvSpPr>
        <xdr:cNvPr id="17" name="Rectangle 16">
          <a:extLst>
            <a:ext uri="{FF2B5EF4-FFF2-40B4-BE49-F238E27FC236}">
              <a16:creationId xmlns:a16="http://schemas.microsoft.com/office/drawing/2014/main" id="{851471AD-9910-48B0-8689-5D4C9216CF04}"/>
            </a:ext>
          </a:extLst>
        </xdr:cNvPr>
        <xdr:cNvSpPr/>
      </xdr:nvSpPr>
      <xdr:spPr>
        <a:xfrm>
          <a:off x="3270250" y="4508500"/>
          <a:ext cx="1282700"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F5D5A48-5A4C-47B4-BD41-7F298029754F}" type="TxLink">
            <a:rPr lang="en-US" sz="1200" b="1" i="0" u="none" strike="noStrike">
              <a:solidFill>
                <a:srgbClr val="000000"/>
              </a:solidFill>
              <a:latin typeface="Calibri"/>
              <a:ea typeface="Calibri"/>
              <a:cs typeface="Calibri"/>
            </a:rPr>
            <a:pPr algn="ctr"/>
            <a:t>22.71%</a:t>
          </a:fld>
          <a:endParaRPr lang="en-US" sz="1200" b="1"/>
        </a:p>
      </xdr:txBody>
    </xdr:sp>
    <xdr:clientData/>
  </xdr:twoCellAnchor>
  <xdr:twoCellAnchor>
    <xdr:from>
      <xdr:col>5</xdr:col>
      <xdr:colOff>165100</xdr:colOff>
      <xdr:row>23</xdr:row>
      <xdr:rowOff>50800</xdr:rowOff>
    </xdr:from>
    <xdr:to>
      <xdr:col>6</xdr:col>
      <xdr:colOff>285750</xdr:colOff>
      <xdr:row>24</xdr:row>
      <xdr:rowOff>120650</xdr:rowOff>
    </xdr:to>
    <xdr:sp macro="" textlink="">
      <xdr:nvSpPr>
        <xdr:cNvPr id="18" name="Rectangle 17">
          <a:extLst>
            <a:ext uri="{FF2B5EF4-FFF2-40B4-BE49-F238E27FC236}">
              <a16:creationId xmlns:a16="http://schemas.microsoft.com/office/drawing/2014/main" id="{2675CC4B-05FA-4305-9B21-0F76F1D720D9}"/>
            </a:ext>
          </a:extLst>
        </xdr:cNvPr>
        <xdr:cNvSpPr/>
      </xdr:nvSpPr>
      <xdr:spPr>
        <a:xfrm>
          <a:off x="3581400" y="4286250"/>
          <a:ext cx="730250" cy="25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0070C0"/>
              </a:solidFill>
            </a:rPr>
            <a:t>WEST</a:t>
          </a:r>
        </a:p>
        <a:p>
          <a:pPr algn="ctr"/>
          <a:endParaRPr lang="en-US" sz="1400" b="1">
            <a:solidFill>
              <a:srgbClr val="0070C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196850</xdr:colOff>
      <xdr:row>3</xdr:row>
      <xdr:rowOff>6350</xdr:rowOff>
    </xdr:from>
    <xdr:to>
      <xdr:col>9</xdr:col>
      <xdr:colOff>501650</xdr:colOff>
      <xdr:row>17</xdr:row>
      <xdr:rowOff>171450</xdr:rowOff>
    </xdr:to>
    <xdr:graphicFrame macro="">
      <xdr:nvGraphicFramePr>
        <xdr:cNvPr id="2" name="Chart 1">
          <a:extLst>
            <a:ext uri="{FF2B5EF4-FFF2-40B4-BE49-F238E27FC236}">
              <a16:creationId xmlns:a16="http://schemas.microsoft.com/office/drawing/2014/main" id="{FC5DCDA9-029D-046D-8D5C-6B3D898F9B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3.47242395833" createdVersion="8" refreshedVersion="8" minRefreshableVersion="3" recordCount="173" xr:uid="{9CC4DE4D-0A6B-4D1C-BE4D-C242C76D5DE3}">
  <cacheSource type="worksheet">
    <worksheetSource ref="B2:E175" sheet="Data"/>
  </cacheSource>
  <cacheFields count="4">
    <cacheField name="Seller" numFmtId="0">
      <sharedItems count="7">
        <s v="Ap Enterprise"/>
        <s v="Pc Zone"/>
        <s v="Super Pc"/>
        <s v="Abc Enterprise"/>
        <s v="New Computers"/>
        <s v="Modern Tech"/>
        <s v="Super Tech"/>
      </sharedItems>
    </cacheField>
    <cacheField name="region" numFmtId="0">
      <sharedItems count="4">
        <s v="east"/>
        <s v="west"/>
        <s v="north"/>
        <s v="south"/>
      </sharedItems>
    </cacheField>
    <cacheField name="item" numFmtId="0">
      <sharedItems count="10">
        <s v="Mouse"/>
        <s v="Keyboard"/>
        <s v="Printer"/>
        <s v="Wireless Mouse"/>
        <s v="Scanner"/>
        <s v="Pendrive"/>
        <s v="Hard Disk"/>
        <s v="Speaker"/>
        <s v="Cpu"/>
        <s v="Monitor"/>
      </sharedItems>
    </cacheField>
    <cacheField name="sale" numFmtId="0">
      <sharedItems containsSemiMixedTypes="0" containsString="0" containsNumber="1" containsInteger="1" minValue="100" maxValue="1000"/>
    </cacheField>
  </cacheFields>
  <extLst>
    <ext xmlns:x14="http://schemas.microsoft.com/office/spreadsheetml/2009/9/main" uri="{725AE2AE-9491-48be-B2B4-4EB974FC3084}">
      <x14:pivotCacheDefinition pivotCacheId="15499100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3">
  <r>
    <x v="0"/>
    <x v="0"/>
    <x v="0"/>
    <n v="100"/>
  </r>
  <r>
    <x v="1"/>
    <x v="1"/>
    <x v="1"/>
    <n v="200"/>
  </r>
  <r>
    <x v="2"/>
    <x v="2"/>
    <x v="2"/>
    <n v="150"/>
  </r>
  <r>
    <x v="3"/>
    <x v="3"/>
    <x v="3"/>
    <n v="160"/>
  </r>
  <r>
    <x v="4"/>
    <x v="0"/>
    <x v="1"/>
    <n v="130"/>
  </r>
  <r>
    <x v="5"/>
    <x v="1"/>
    <x v="2"/>
    <n v="160"/>
  </r>
  <r>
    <x v="6"/>
    <x v="2"/>
    <x v="0"/>
    <n v="176"/>
  </r>
  <r>
    <x v="0"/>
    <x v="3"/>
    <x v="1"/>
    <n v="156"/>
  </r>
  <r>
    <x v="1"/>
    <x v="0"/>
    <x v="2"/>
    <n v="190"/>
  </r>
  <r>
    <x v="2"/>
    <x v="1"/>
    <x v="0"/>
    <n v="144"/>
  </r>
  <r>
    <x v="3"/>
    <x v="2"/>
    <x v="1"/>
    <n v="155"/>
  </r>
  <r>
    <x v="4"/>
    <x v="3"/>
    <x v="2"/>
    <n v="166"/>
  </r>
  <r>
    <x v="5"/>
    <x v="0"/>
    <x v="4"/>
    <n v="144"/>
  </r>
  <r>
    <x v="6"/>
    <x v="1"/>
    <x v="5"/>
    <n v="177"/>
  </r>
  <r>
    <x v="0"/>
    <x v="2"/>
    <x v="6"/>
    <n v="199"/>
  </r>
  <r>
    <x v="1"/>
    <x v="0"/>
    <x v="7"/>
    <n v="200"/>
  </r>
  <r>
    <x v="2"/>
    <x v="1"/>
    <x v="3"/>
    <n v="230"/>
  </r>
  <r>
    <x v="3"/>
    <x v="2"/>
    <x v="8"/>
    <n v="430"/>
  </r>
  <r>
    <x v="4"/>
    <x v="3"/>
    <x v="0"/>
    <n v="230"/>
  </r>
  <r>
    <x v="5"/>
    <x v="0"/>
    <x v="1"/>
    <n v="430"/>
  </r>
  <r>
    <x v="6"/>
    <x v="1"/>
    <x v="2"/>
    <n v="199"/>
  </r>
  <r>
    <x v="0"/>
    <x v="2"/>
    <x v="3"/>
    <n v="140"/>
  </r>
  <r>
    <x v="1"/>
    <x v="3"/>
    <x v="1"/>
    <n v="260"/>
  </r>
  <r>
    <x v="2"/>
    <x v="0"/>
    <x v="2"/>
    <n v="300"/>
  </r>
  <r>
    <x v="3"/>
    <x v="1"/>
    <x v="0"/>
    <n v="160"/>
  </r>
  <r>
    <x v="4"/>
    <x v="2"/>
    <x v="1"/>
    <n v="176"/>
  </r>
  <r>
    <x v="5"/>
    <x v="3"/>
    <x v="2"/>
    <n v="156"/>
  </r>
  <r>
    <x v="6"/>
    <x v="0"/>
    <x v="0"/>
    <n v="190"/>
  </r>
  <r>
    <x v="0"/>
    <x v="1"/>
    <x v="1"/>
    <n v="144"/>
  </r>
  <r>
    <x v="1"/>
    <x v="2"/>
    <x v="2"/>
    <n v="155"/>
  </r>
  <r>
    <x v="2"/>
    <x v="0"/>
    <x v="4"/>
    <n v="166"/>
  </r>
  <r>
    <x v="3"/>
    <x v="1"/>
    <x v="5"/>
    <n v="144"/>
  </r>
  <r>
    <x v="4"/>
    <x v="2"/>
    <x v="6"/>
    <n v="177"/>
  </r>
  <r>
    <x v="5"/>
    <x v="3"/>
    <x v="7"/>
    <n v="199"/>
  </r>
  <r>
    <x v="6"/>
    <x v="0"/>
    <x v="3"/>
    <n v="200"/>
  </r>
  <r>
    <x v="0"/>
    <x v="1"/>
    <x v="8"/>
    <n v="230"/>
  </r>
  <r>
    <x v="1"/>
    <x v="2"/>
    <x v="0"/>
    <n v="430"/>
  </r>
  <r>
    <x v="2"/>
    <x v="3"/>
    <x v="1"/>
    <n v="230"/>
  </r>
  <r>
    <x v="3"/>
    <x v="0"/>
    <x v="2"/>
    <n v="430"/>
  </r>
  <r>
    <x v="4"/>
    <x v="1"/>
    <x v="3"/>
    <n v="199"/>
  </r>
  <r>
    <x v="5"/>
    <x v="2"/>
    <x v="1"/>
    <n v="140"/>
  </r>
  <r>
    <x v="6"/>
    <x v="3"/>
    <x v="2"/>
    <n v="260"/>
  </r>
  <r>
    <x v="0"/>
    <x v="0"/>
    <x v="0"/>
    <n v="300"/>
  </r>
  <r>
    <x v="1"/>
    <x v="1"/>
    <x v="1"/>
    <n v="160"/>
  </r>
  <r>
    <x v="2"/>
    <x v="2"/>
    <x v="2"/>
    <n v="176"/>
  </r>
  <r>
    <x v="3"/>
    <x v="0"/>
    <x v="0"/>
    <n v="156"/>
  </r>
  <r>
    <x v="4"/>
    <x v="1"/>
    <x v="1"/>
    <n v="190"/>
  </r>
  <r>
    <x v="5"/>
    <x v="2"/>
    <x v="2"/>
    <n v="144"/>
  </r>
  <r>
    <x v="6"/>
    <x v="3"/>
    <x v="4"/>
    <n v="155"/>
  </r>
  <r>
    <x v="0"/>
    <x v="0"/>
    <x v="5"/>
    <n v="166"/>
  </r>
  <r>
    <x v="1"/>
    <x v="1"/>
    <x v="6"/>
    <n v="144"/>
  </r>
  <r>
    <x v="2"/>
    <x v="2"/>
    <x v="7"/>
    <n v="177"/>
  </r>
  <r>
    <x v="3"/>
    <x v="3"/>
    <x v="3"/>
    <n v="199"/>
  </r>
  <r>
    <x v="4"/>
    <x v="0"/>
    <x v="8"/>
    <n v="200"/>
  </r>
  <r>
    <x v="5"/>
    <x v="1"/>
    <x v="0"/>
    <n v="230"/>
  </r>
  <r>
    <x v="6"/>
    <x v="2"/>
    <x v="1"/>
    <n v="430"/>
  </r>
  <r>
    <x v="0"/>
    <x v="3"/>
    <x v="2"/>
    <n v="230"/>
  </r>
  <r>
    <x v="1"/>
    <x v="0"/>
    <x v="3"/>
    <n v="430"/>
  </r>
  <r>
    <x v="2"/>
    <x v="1"/>
    <x v="1"/>
    <n v="199"/>
  </r>
  <r>
    <x v="3"/>
    <x v="2"/>
    <x v="2"/>
    <n v="140"/>
  </r>
  <r>
    <x v="4"/>
    <x v="0"/>
    <x v="0"/>
    <n v="260"/>
  </r>
  <r>
    <x v="5"/>
    <x v="1"/>
    <x v="1"/>
    <n v="300"/>
  </r>
  <r>
    <x v="6"/>
    <x v="2"/>
    <x v="2"/>
    <n v="160"/>
  </r>
  <r>
    <x v="0"/>
    <x v="3"/>
    <x v="0"/>
    <n v="176"/>
  </r>
  <r>
    <x v="1"/>
    <x v="0"/>
    <x v="1"/>
    <n v="156"/>
  </r>
  <r>
    <x v="2"/>
    <x v="1"/>
    <x v="2"/>
    <n v="190"/>
  </r>
  <r>
    <x v="3"/>
    <x v="2"/>
    <x v="4"/>
    <n v="144"/>
  </r>
  <r>
    <x v="4"/>
    <x v="3"/>
    <x v="5"/>
    <n v="155"/>
  </r>
  <r>
    <x v="5"/>
    <x v="0"/>
    <x v="6"/>
    <n v="166"/>
  </r>
  <r>
    <x v="6"/>
    <x v="1"/>
    <x v="7"/>
    <n v="144"/>
  </r>
  <r>
    <x v="0"/>
    <x v="2"/>
    <x v="3"/>
    <n v="177"/>
  </r>
  <r>
    <x v="1"/>
    <x v="3"/>
    <x v="8"/>
    <n v="199"/>
  </r>
  <r>
    <x v="2"/>
    <x v="0"/>
    <x v="0"/>
    <n v="200"/>
  </r>
  <r>
    <x v="3"/>
    <x v="1"/>
    <x v="1"/>
    <n v="230"/>
  </r>
  <r>
    <x v="4"/>
    <x v="2"/>
    <x v="2"/>
    <n v="430"/>
  </r>
  <r>
    <x v="5"/>
    <x v="0"/>
    <x v="3"/>
    <n v="230"/>
  </r>
  <r>
    <x v="6"/>
    <x v="1"/>
    <x v="1"/>
    <n v="430"/>
  </r>
  <r>
    <x v="0"/>
    <x v="2"/>
    <x v="2"/>
    <n v="199"/>
  </r>
  <r>
    <x v="1"/>
    <x v="3"/>
    <x v="0"/>
    <n v="140"/>
  </r>
  <r>
    <x v="2"/>
    <x v="0"/>
    <x v="1"/>
    <n v="260"/>
  </r>
  <r>
    <x v="3"/>
    <x v="1"/>
    <x v="2"/>
    <n v="300"/>
  </r>
  <r>
    <x v="4"/>
    <x v="2"/>
    <x v="0"/>
    <n v="144"/>
  </r>
  <r>
    <x v="5"/>
    <x v="3"/>
    <x v="1"/>
    <n v="155"/>
  </r>
  <r>
    <x v="6"/>
    <x v="0"/>
    <x v="2"/>
    <n v="166"/>
  </r>
  <r>
    <x v="0"/>
    <x v="1"/>
    <x v="4"/>
    <n v="144"/>
  </r>
  <r>
    <x v="1"/>
    <x v="2"/>
    <x v="5"/>
    <n v="177"/>
  </r>
  <r>
    <x v="2"/>
    <x v="3"/>
    <x v="6"/>
    <n v="199"/>
  </r>
  <r>
    <x v="3"/>
    <x v="0"/>
    <x v="7"/>
    <n v="200"/>
  </r>
  <r>
    <x v="4"/>
    <x v="1"/>
    <x v="3"/>
    <n v="230"/>
  </r>
  <r>
    <x v="5"/>
    <x v="2"/>
    <x v="8"/>
    <n v="430"/>
  </r>
  <r>
    <x v="6"/>
    <x v="0"/>
    <x v="0"/>
    <n v="230"/>
  </r>
  <r>
    <x v="0"/>
    <x v="1"/>
    <x v="1"/>
    <n v="430"/>
  </r>
  <r>
    <x v="1"/>
    <x v="2"/>
    <x v="2"/>
    <n v="199"/>
  </r>
  <r>
    <x v="2"/>
    <x v="3"/>
    <x v="3"/>
    <n v="140"/>
  </r>
  <r>
    <x v="3"/>
    <x v="0"/>
    <x v="1"/>
    <n v="260"/>
  </r>
  <r>
    <x v="4"/>
    <x v="1"/>
    <x v="2"/>
    <n v="300"/>
  </r>
  <r>
    <x v="5"/>
    <x v="2"/>
    <x v="0"/>
    <n v="160"/>
  </r>
  <r>
    <x v="6"/>
    <x v="3"/>
    <x v="1"/>
    <n v="176"/>
  </r>
  <r>
    <x v="0"/>
    <x v="0"/>
    <x v="2"/>
    <n v="156"/>
  </r>
  <r>
    <x v="1"/>
    <x v="1"/>
    <x v="0"/>
    <n v="190"/>
  </r>
  <r>
    <x v="2"/>
    <x v="2"/>
    <x v="1"/>
    <n v="144"/>
  </r>
  <r>
    <x v="3"/>
    <x v="3"/>
    <x v="2"/>
    <n v="155"/>
  </r>
  <r>
    <x v="4"/>
    <x v="0"/>
    <x v="4"/>
    <n v="166"/>
  </r>
  <r>
    <x v="5"/>
    <x v="1"/>
    <x v="5"/>
    <n v="144"/>
  </r>
  <r>
    <x v="6"/>
    <x v="2"/>
    <x v="6"/>
    <n v="177"/>
  </r>
  <r>
    <x v="0"/>
    <x v="0"/>
    <x v="7"/>
    <n v="199"/>
  </r>
  <r>
    <x v="1"/>
    <x v="1"/>
    <x v="3"/>
    <n v="200"/>
  </r>
  <r>
    <x v="2"/>
    <x v="2"/>
    <x v="8"/>
    <n v="230"/>
  </r>
  <r>
    <x v="3"/>
    <x v="3"/>
    <x v="0"/>
    <n v="430"/>
  </r>
  <r>
    <x v="4"/>
    <x v="0"/>
    <x v="1"/>
    <n v="230"/>
  </r>
  <r>
    <x v="5"/>
    <x v="1"/>
    <x v="2"/>
    <n v="430"/>
  </r>
  <r>
    <x v="6"/>
    <x v="2"/>
    <x v="3"/>
    <n v="199"/>
  </r>
  <r>
    <x v="0"/>
    <x v="3"/>
    <x v="1"/>
    <n v="140"/>
  </r>
  <r>
    <x v="1"/>
    <x v="0"/>
    <x v="2"/>
    <n v="260"/>
  </r>
  <r>
    <x v="2"/>
    <x v="1"/>
    <x v="0"/>
    <n v="300"/>
  </r>
  <r>
    <x v="3"/>
    <x v="2"/>
    <x v="1"/>
    <n v="144"/>
  </r>
  <r>
    <x v="4"/>
    <x v="3"/>
    <x v="2"/>
    <n v="155"/>
  </r>
  <r>
    <x v="5"/>
    <x v="0"/>
    <x v="0"/>
    <n v="166"/>
  </r>
  <r>
    <x v="6"/>
    <x v="1"/>
    <x v="1"/>
    <n v="144"/>
  </r>
  <r>
    <x v="0"/>
    <x v="2"/>
    <x v="2"/>
    <n v="177"/>
  </r>
  <r>
    <x v="1"/>
    <x v="0"/>
    <x v="4"/>
    <n v="199"/>
  </r>
  <r>
    <x v="2"/>
    <x v="1"/>
    <x v="5"/>
    <n v="200"/>
  </r>
  <r>
    <x v="3"/>
    <x v="2"/>
    <x v="6"/>
    <n v="230"/>
  </r>
  <r>
    <x v="4"/>
    <x v="3"/>
    <x v="7"/>
    <n v="430"/>
  </r>
  <r>
    <x v="5"/>
    <x v="0"/>
    <x v="3"/>
    <n v="230"/>
  </r>
  <r>
    <x v="6"/>
    <x v="1"/>
    <x v="8"/>
    <n v="430"/>
  </r>
  <r>
    <x v="0"/>
    <x v="2"/>
    <x v="0"/>
    <n v="199"/>
  </r>
  <r>
    <x v="1"/>
    <x v="3"/>
    <x v="1"/>
    <n v="140"/>
  </r>
  <r>
    <x v="2"/>
    <x v="0"/>
    <x v="2"/>
    <n v="260"/>
  </r>
  <r>
    <x v="3"/>
    <x v="1"/>
    <x v="3"/>
    <n v="300"/>
  </r>
  <r>
    <x v="4"/>
    <x v="2"/>
    <x v="1"/>
    <n v="160"/>
  </r>
  <r>
    <x v="5"/>
    <x v="3"/>
    <x v="2"/>
    <n v="176"/>
  </r>
  <r>
    <x v="6"/>
    <x v="0"/>
    <x v="0"/>
    <n v="156"/>
  </r>
  <r>
    <x v="0"/>
    <x v="1"/>
    <x v="1"/>
    <n v="190"/>
  </r>
  <r>
    <x v="1"/>
    <x v="2"/>
    <x v="2"/>
    <n v="144"/>
  </r>
  <r>
    <x v="2"/>
    <x v="0"/>
    <x v="0"/>
    <n v="155"/>
  </r>
  <r>
    <x v="3"/>
    <x v="1"/>
    <x v="1"/>
    <n v="166"/>
  </r>
  <r>
    <x v="4"/>
    <x v="2"/>
    <x v="2"/>
    <n v="144"/>
  </r>
  <r>
    <x v="5"/>
    <x v="3"/>
    <x v="4"/>
    <n v="177"/>
  </r>
  <r>
    <x v="6"/>
    <x v="0"/>
    <x v="5"/>
    <n v="199"/>
  </r>
  <r>
    <x v="0"/>
    <x v="1"/>
    <x v="6"/>
    <n v="200"/>
  </r>
  <r>
    <x v="1"/>
    <x v="2"/>
    <x v="7"/>
    <n v="230"/>
  </r>
  <r>
    <x v="2"/>
    <x v="3"/>
    <x v="3"/>
    <n v="430"/>
  </r>
  <r>
    <x v="3"/>
    <x v="0"/>
    <x v="8"/>
    <n v="230"/>
  </r>
  <r>
    <x v="4"/>
    <x v="1"/>
    <x v="0"/>
    <n v="430"/>
  </r>
  <r>
    <x v="5"/>
    <x v="2"/>
    <x v="1"/>
    <n v="199"/>
  </r>
  <r>
    <x v="6"/>
    <x v="3"/>
    <x v="2"/>
    <n v="140"/>
  </r>
  <r>
    <x v="0"/>
    <x v="0"/>
    <x v="3"/>
    <n v="260"/>
  </r>
  <r>
    <x v="1"/>
    <x v="1"/>
    <x v="1"/>
    <n v="300"/>
  </r>
  <r>
    <x v="2"/>
    <x v="2"/>
    <x v="2"/>
    <n v="144"/>
  </r>
  <r>
    <x v="3"/>
    <x v="0"/>
    <x v="0"/>
    <n v="155"/>
  </r>
  <r>
    <x v="4"/>
    <x v="1"/>
    <x v="1"/>
    <n v="166"/>
  </r>
  <r>
    <x v="5"/>
    <x v="2"/>
    <x v="2"/>
    <n v="144"/>
  </r>
  <r>
    <x v="6"/>
    <x v="3"/>
    <x v="0"/>
    <n v="177"/>
  </r>
  <r>
    <x v="0"/>
    <x v="0"/>
    <x v="1"/>
    <n v="199"/>
  </r>
  <r>
    <x v="1"/>
    <x v="1"/>
    <x v="2"/>
    <n v="200"/>
  </r>
  <r>
    <x v="2"/>
    <x v="2"/>
    <x v="4"/>
    <n v="230"/>
  </r>
  <r>
    <x v="3"/>
    <x v="3"/>
    <x v="5"/>
    <n v="430"/>
  </r>
  <r>
    <x v="4"/>
    <x v="0"/>
    <x v="6"/>
    <n v="230"/>
  </r>
  <r>
    <x v="5"/>
    <x v="1"/>
    <x v="7"/>
    <n v="430"/>
  </r>
  <r>
    <x v="6"/>
    <x v="2"/>
    <x v="3"/>
    <n v="199"/>
  </r>
  <r>
    <x v="0"/>
    <x v="3"/>
    <x v="8"/>
    <n v="140"/>
  </r>
  <r>
    <x v="1"/>
    <x v="0"/>
    <x v="0"/>
    <n v="260"/>
  </r>
  <r>
    <x v="2"/>
    <x v="1"/>
    <x v="1"/>
    <n v="300"/>
  </r>
  <r>
    <x v="3"/>
    <x v="2"/>
    <x v="2"/>
    <n v="160"/>
  </r>
  <r>
    <x v="4"/>
    <x v="0"/>
    <x v="3"/>
    <n v="176"/>
  </r>
  <r>
    <x v="5"/>
    <x v="1"/>
    <x v="1"/>
    <n v="156"/>
  </r>
  <r>
    <x v="6"/>
    <x v="2"/>
    <x v="2"/>
    <n v="190"/>
  </r>
  <r>
    <x v="0"/>
    <x v="3"/>
    <x v="0"/>
    <n v="144"/>
  </r>
  <r>
    <x v="1"/>
    <x v="0"/>
    <x v="9"/>
    <n v="1000"/>
  </r>
  <r>
    <x v="2"/>
    <x v="1"/>
    <x v="9"/>
    <n v="156"/>
  </r>
  <r>
    <x v="3"/>
    <x v="2"/>
    <x v="9"/>
    <n v="190"/>
  </r>
  <r>
    <x v="0"/>
    <x v="3"/>
    <x v="9"/>
    <n v="1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A5027D-D8F2-41DC-ACB4-7BF4550D9DB9}"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7" firstHeaderRow="1" firstDataRow="1" firstDataCol="1"/>
  <pivotFields count="4">
    <pivotField showAll="0">
      <items count="8">
        <item x="3"/>
        <item x="0"/>
        <item x="5"/>
        <item x="4"/>
        <item x="1"/>
        <item x="2"/>
        <item x="6"/>
        <item t="default"/>
      </items>
    </pivotField>
    <pivotField axis="axisRow" showAll="0">
      <items count="5">
        <item x="0"/>
        <item x="2"/>
        <item x="3"/>
        <item x="1"/>
        <item t="default"/>
      </items>
    </pivotField>
    <pivotField showAll="0">
      <items count="11">
        <item h="1" x="8"/>
        <item h="1" x="6"/>
        <item h="1" x="1"/>
        <item h="1" x="9"/>
        <item h="1" x="0"/>
        <item h="1" x="5"/>
        <item x="2"/>
        <item h="1" x="4"/>
        <item h="1" x="7"/>
        <item h="1" x="3"/>
        <item t="default"/>
      </items>
    </pivotField>
    <pivotField dataField="1" showAll="0"/>
  </pivotFields>
  <rowFields count="1">
    <field x="1"/>
  </rowFields>
  <rowItems count="4">
    <i>
      <x/>
    </i>
    <i>
      <x v="1"/>
    </i>
    <i>
      <x v="2"/>
    </i>
    <i>
      <x v="3"/>
    </i>
  </rowItems>
  <colItems count="1">
    <i/>
  </colItems>
  <dataFields count="1">
    <dataField name="Sum of sale" fld="3"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E5B7D4-5680-4471-807D-40E726079A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4">
    <pivotField axis="axisRow" showAll="0">
      <items count="8">
        <item x="3"/>
        <item x="0"/>
        <item x="5"/>
        <item x="4"/>
        <item x="1"/>
        <item x="2"/>
        <item x="6"/>
        <item t="default"/>
      </items>
    </pivotField>
    <pivotField showAll="0"/>
    <pivotField showAll="0">
      <items count="11">
        <item h="1" x="8"/>
        <item h="1" x="6"/>
        <item h="1" x="1"/>
        <item h="1" x="9"/>
        <item h="1" x="0"/>
        <item h="1" x="5"/>
        <item x="2"/>
        <item h="1" x="4"/>
        <item h="1" x="7"/>
        <item h="1" x="3"/>
        <item t="default"/>
      </items>
    </pivotField>
    <pivotField dataField="1" showAll="0"/>
  </pivotFields>
  <rowFields count="1">
    <field x="0"/>
  </rowFields>
  <rowItems count="8">
    <i>
      <x/>
    </i>
    <i>
      <x v="1"/>
    </i>
    <i>
      <x v="2"/>
    </i>
    <i>
      <x v="3"/>
    </i>
    <i>
      <x v="4"/>
    </i>
    <i>
      <x v="5"/>
    </i>
    <i>
      <x v="6"/>
    </i>
    <i t="grand">
      <x/>
    </i>
  </rowItems>
  <colItems count="1">
    <i/>
  </colItems>
  <dataFields count="1">
    <dataField name="Sum of sale" fld="3" showDataAs="percentOfCol" baseField="0" baseItem="0" numFmtId="10"/>
  </dataFields>
  <chartFormats count="4">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AE48E19A-934B-4155-AEAE-1C7693C449AD}" sourceName="Seller">
  <pivotTables>
    <pivotTable tabId="5" name="PivotTable1"/>
    <pivotTable tabId="6" name="PivotTable2"/>
  </pivotTables>
  <data>
    <tabular pivotCacheId="1549910070">
      <items count="7">
        <i x="3" s="1"/>
        <i x="0" s="1"/>
        <i x="5" s="1"/>
        <i x="4" s="1"/>
        <i x="1" s="1"/>
        <i x="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89610ED6-8340-4868-860A-ABB9E90D3082}" sourceName="item">
  <pivotTables>
    <pivotTable tabId="5" name="PivotTable1"/>
    <pivotTable tabId="6" name="PivotTable2"/>
  </pivotTables>
  <data>
    <tabular pivotCacheId="1549910070">
      <items count="10">
        <i x="8"/>
        <i x="6"/>
        <i x="1"/>
        <i x="9"/>
        <i x="0"/>
        <i x="5"/>
        <i x="2" s="1"/>
        <i x="4"/>
        <i x="7"/>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1" xr10:uid="{18657D0A-4B4B-437E-A145-F8CEB464E1D3}" cache="Slicer_Seller" caption="Seller" columnCount="7" rowHeight="241300"/>
  <slicer name="item 1" xr10:uid="{9CB2FE81-EBAA-4EF7-A9C7-675305AB8DC9}" cache="Slicer_item" caption="item" showCaption="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xr10:uid="{8AA02AFA-F3E6-4A93-A6C4-17CC9BA4DE3A}" cache="Slicer_Seller" caption="Seller" rowHeight="241300"/>
  <slicer name="item" xr10:uid="{DF8C341A-9BBF-4FB3-B51B-EAB44C21E3F7}" cache="Slicer_item" caption="item"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B0985-CF12-4B4E-8AC5-5C6200F0A906}">
  <dimension ref="A1"/>
  <sheetViews>
    <sheetView zoomScale="90" zoomScaleNormal="90" workbookViewId="0">
      <selection activeCell="U14" sqref="U14"/>
    </sheetView>
  </sheetViews>
  <sheetFormatPr defaultRowHeight="14.5" x14ac:dyDescent="0.35"/>
  <cols>
    <col min="1" max="16384" width="8.7265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7DCCB-EC7D-4F84-8E87-4AFA76581780}">
  <dimension ref="A3:E8"/>
  <sheetViews>
    <sheetView topLeftCell="A10" workbookViewId="0">
      <selection activeCell="B5" sqref="B5"/>
    </sheetView>
  </sheetViews>
  <sheetFormatPr defaultRowHeight="14.5" x14ac:dyDescent="0.35"/>
  <cols>
    <col min="1" max="1" width="12.36328125" bestFit="1" customWidth="1"/>
    <col min="2" max="2" width="10.36328125" bestFit="1" customWidth="1"/>
  </cols>
  <sheetData>
    <row r="3" spans="1:5" x14ac:dyDescent="0.35">
      <c r="A3" s="3" t="s">
        <v>25</v>
      </c>
      <c r="B3" t="s">
        <v>27</v>
      </c>
    </row>
    <row r="4" spans="1:5" x14ac:dyDescent="0.35">
      <c r="A4" s="4" t="s">
        <v>5</v>
      </c>
      <c r="B4" s="5">
        <v>0.22488832163369496</v>
      </c>
      <c r="C4" s="5">
        <f>B4</f>
        <v>0.22488832163369496</v>
      </c>
      <c r="D4" s="5">
        <f>1-C4</f>
        <v>0.77511167836630501</v>
      </c>
      <c r="E4" s="7">
        <v>1</v>
      </c>
    </row>
    <row r="5" spans="1:5" x14ac:dyDescent="0.35">
      <c r="A5" s="4" t="s">
        <v>11</v>
      </c>
      <c r="B5" s="5">
        <v>0.36451818761965538</v>
      </c>
      <c r="C5" s="5">
        <f t="shared" ref="C5:C7" si="0">B5</f>
        <v>0.36451818761965538</v>
      </c>
      <c r="D5" s="5">
        <f t="shared" ref="D5:D7" si="1">1-C5</f>
        <v>0.63548181238034462</v>
      </c>
      <c r="E5" s="7">
        <v>1</v>
      </c>
    </row>
    <row r="6" spans="1:5" x14ac:dyDescent="0.35">
      <c r="A6" s="4" t="s">
        <v>14</v>
      </c>
      <c r="B6" s="5">
        <v>0.18353541799617104</v>
      </c>
      <c r="C6" s="5">
        <f t="shared" si="0"/>
        <v>0.18353541799617104</v>
      </c>
      <c r="D6" s="5">
        <f t="shared" si="1"/>
        <v>0.81646458200382899</v>
      </c>
      <c r="E6" s="7">
        <v>1</v>
      </c>
    </row>
    <row r="7" spans="1:5" x14ac:dyDescent="0.35">
      <c r="A7" s="4" t="s">
        <v>8</v>
      </c>
      <c r="B7" s="5">
        <v>0.22705807275047862</v>
      </c>
      <c r="C7" s="5">
        <f t="shared" si="0"/>
        <v>0.22705807275047862</v>
      </c>
      <c r="D7" s="5">
        <f t="shared" si="1"/>
        <v>0.77294192724952138</v>
      </c>
      <c r="E7" s="7">
        <v>1</v>
      </c>
    </row>
    <row r="8" spans="1:5" x14ac:dyDescent="0.35">
      <c r="C8" s="5"/>
      <c r="D8"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8EF34-337E-4275-AC31-6FD7EF1CD87E}">
  <dimension ref="A3:B11"/>
  <sheetViews>
    <sheetView workbookViewId="0">
      <selection activeCell="A4" sqref="A4:B10"/>
    </sheetView>
  </sheetViews>
  <sheetFormatPr defaultRowHeight="14.5" x14ac:dyDescent="0.35"/>
  <cols>
    <col min="1" max="1" width="14.26953125" bestFit="1" customWidth="1"/>
    <col min="2" max="2" width="10.36328125" bestFit="1" customWidth="1"/>
  </cols>
  <sheetData>
    <row r="3" spans="1:2" x14ac:dyDescent="0.35">
      <c r="A3" s="3" t="s">
        <v>25</v>
      </c>
      <c r="B3" t="s">
        <v>27</v>
      </c>
    </row>
    <row r="4" spans="1:2" x14ac:dyDescent="0.35">
      <c r="A4" s="4" t="s">
        <v>13</v>
      </c>
      <c r="B4" s="5">
        <v>0.15124441608168473</v>
      </c>
    </row>
    <row r="5" spans="1:2" x14ac:dyDescent="0.35">
      <c r="A5" s="4" t="s">
        <v>4</v>
      </c>
      <c r="B5" s="5">
        <v>9.7255902999361835E-2</v>
      </c>
    </row>
    <row r="6" spans="1:2" x14ac:dyDescent="0.35">
      <c r="A6" s="4" t="s">
        <v>17</v>
      </c>
      <c r="B6" s="5">
        <v>0.15443522654754308</v>
      </c>
    </row>
    <row r="7" spans="1:2" x14ac:dyDescent="0.35">
      <c r="A7" s="4" t="s">
        <v>16</v>
      </c>
      <c r="B7" s="5">
        <v>0.15252074026802809</v>
      </c>
    </row>
    <row r="8" spans="1:2" x14ac:dyDescent="0.35">
      <c r="A8" s="4" t="s">
        <v>7</v>
      </c>
      <c r="B8" s="5">
        <v>0.14652201659221442</v>
      </c>
    </row>
    <row r="9" spans="1:2" x14ac:dyDescent="0.35">
      <c r="A9" s="4" t="s">
        <v>10</v>
      </c>
      <c r="B9" s="5">
        <v>0.1557115507338864</v>
      </c>
    </row>
    <row r="10" spans="1:2" x14ac:dyDescent="0.35">
      <c r="A10" s="4" t="s">
        <v>18</v>
      </c>
      <c r="B10" s="5">
        <v>0.14231014677728143</v>
      </c>
    </row>
    <row r="11" spans="1:2" x14ac:dyDescent="0.35">
      <c r="A11" s="4" t="s">
        <v>26</v>
      </c>
      <c r="B11" s="5">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FFA5B-6A4E-4B76-902E-0B004804B0BC}">
  <dimension ref="B2:E175"/>
  <sheetViews>
    <sheetView tabSelected="1" topLeftCell="A5" workbookViewId="0">
      <selection activeCell="C10" sqref="C10"/>
    </sheetView>
  </sheetViews>
  <sheetFormatPr defaultRowHeight="14.5" x14ac:dyDescent="0.35"/>
  <cols>
    <col min="2" max="2" width="19.36328125" customWidth="1"/>
    <col min="3" max="3" width="17.08984375" customWidth="1"/>
    <col min="4" max="4" width="16.26953125" customWidth="1"/>
    <col min="5" max="5" width="8.90625" customWidth="1"/>
  </cols>
  <sheetData>
    <row r="2" spans="2:5" ht="18.5" x14ac:dyDescent="0.45">
      <c r="B2" s="1" t="s">
        <v>0</v>
      </c>
      <c r="C2" s="1" t="s">
        <v>1</v>
      </c>
      <c r="D2" s="1" t="s">
        <v>2</v>
      </c>
      <c r="E2" s="1" t="s">
        <v>3</v>
      </c>
    </row>
    <row r="3" spans="2:5" x14ac:dyDescent="0.35">
      <c r="B3" s="2" t="s">
        <v>4</v>
      </c>
      <c r="C3" s="2" t="s">
        <v>5</v>
      </c>
      <c r="D3" s="2" t="s">
        <v>6</v>
      </c>
      <c r="E3" s="2">
        <v>100</v>
      </c>
    </row>
    <row r="4" spans="2:5" x14ac:dyDescent="0.35">
      <c r="B4" s="2" t="s">
        <v>7</v>
      </c>
      <c r="C4" s="2" t="s">
        <v>8</v>
      </c>
      <c r="D4" s="2" t="s">
        <v>9</v>
      </c>
      <c r="E4" s="2">
        <v>200</v>
      </c>
    </row>
    <row r="5" spans="2:5" x14ac:dyDescent="0.35">
      <c r="B5" s="2" t="s">
        <v>10</v>
      </c>
      <c r="C5" s="2" t="s">
        <v>11</v>
      </c>
      <c r="D5" s="2" t="s">
        <v>12</v>
      </c>
      <c r="E5" s="2">
        <v>150</v>
      </c>
    </row>
    <row r="6" spans="2:5" x14ac:dyDescent="0.35">
      <c r="B6" s="2" t="s">
        <v>13</v>
      </c>
      <c r="C6" s="2" t="s">
        <v>14</v>
      </c>
      <c r="D6" s="2" t="s">
        <v>15</v>
      </c>
      <c r="E6" s="2">
        <v>160</v>
      </c>
    </row>
    <row r="7" spans="2:5" x14ac:dyDescent="0.35">
      <c r="B7" s="2" t="s">
        <v>16</v>
      </c>
      <c r="C7" s="2" t="s">
        <v>5</v>
      </c>
      <c r="D7" s="2" t="s">
        <v>9</v>
      </c>
      <c r="E7" s="2">
        <v>130</v>
      </c>
    </row>
    <row r="8" spans="2:5" x14ac:dyDescent="0.35">
      <c r="B8" s="2" t="s">
        <v>17</v>
      </c>
      <c r="C8" s="2" t="s">
        <v>8</v>
      </c>
      <c r="D8" s="2" t="s">
        <v>12</v>
      </c>
      <c r="E8" s="2">
        <v>160</v>
      </c>
    </row>
    <row r="9" spans="2:5" x14ac:dyDescent="0.35">
      <c r="B9" s="2" t="s">
        <v>18</v>
      </c>
      <c r="C9" s="2" t="s">
        <v>11</v>
      </c>
      <c r="D9" s="2" t="s">
        <v>6</v>
      </c>
      <c r="E9" s="2">
        <v>176</v>
      </c>
    </row>
    <row r="10" spans="2:5" x14ac:dyDescent="0.35">
      <c r="B10" s="2" t="s">
        <v>4</v>
      </c>
      <c r="C10" s="2" t="s">
        <v>14</v>
      </c>
      <c r="D10" s="2" t="s">
        <v>9</v>
      </c>
      <c r="E10" s="2">
        <v>156</v>
      </c>
    </row>
    <row r="11" spans="2:5" x14ac:dyDescent="0.35">
      <c r="B11" s="2" t="s">
        <v>7</v>
      </c>
      <c r="C11" s="2" t="s">
        <v>5</v>
      </c>
      <c r="D11" s="2" t="s">
        <v>12</v>
      </c>
      <c r="E11" s="2">
        <v>190</v>
      </c>
    </row>
    <row r="12" spans="2:5" x14ac:dyDescent="0.35">
      <c r="B12" s="2" t="s">
        <v>10</v>
      </c>
      <c r="C12" s="2" t="s">
        <v>8</v>
      </c>
      <c r="D12" s="2" t="s">
        <v>6</v>
      </c>
      <c r="E12" s="2">
        <v>144</v>
      </c>
    </row>
    <row r="13" spans="2:5" x14ac:dyDescent="0.35">
      <c r="B13" s="2" t="s">
        <v>13</v>
      </c>
      <c r="C13" s="2" t="s">
        <v>11</v>
      </c>
      <c r="D13" s="2" t="s">
        <v>9</v>
      </c>
      <c r="E13" s="2">
        <v>155</v>
      </c>
    </row>
    <row r="14" spans="2:5" x14ac:dyDescent="0.35">
      <c r="B14" s="2" t="s">
        <v>16</v>
      </c>
      <c r="C14" s="2" t="s">
        <v>14</v>
      </c>
      <c r="D14" s="2" t="s">
        <v>12</v>
      </c>
      <c r="E14" s="2">
        <v>166</v>
      </c>
    </row>
    <row r="15" spans="2:5" x14ac:dyDescent="0.35">
      <c r="B15" s="2" t="s">
        <v>17</v>
      </c>
      <c r="C15" s="2" t="s">
        <v>5</v>
      </c>
      <c r="D15" s="2" t="s">
        <v>19</v>
      </c>
      <c r="E15" s="2">
        <v>144</v>
      </c>
    </row>
    <row r="16" spans="2:5" x14ac:dyDescent="0.35">
      <c r="B16" s="2" t="s">
        <v>18</v>
      </c>
      <c r="C16" s="2" t="s">
        <v>8</v>
      </c>
      <c r="D16" s="2" t="s">
        <v>20</v>
      </c>
      <c r="E16" s="2">
        <v>177</v>
      </c>
    </row>
    <row r="17" spans="2:5" x14ac:dyDescent="0.35">
      <c r="B17" s="2" t="s">
        <v>4</v>
      </c>
      <c r="C17" s="2" t="s">
        <v>11</v>
      </c>
      <c r="D17" s="2" t="s">
        <v>21</v>
      </c>
      <c r="E17" s="2">
        <v>199</v>
      </c>
    </row>
    <row r="18" spans="2:5" x14ac:dyDescent="0.35">
      <c r="B18" s="2" t="s">
        <v>7</v>
      </c>
      <c r="C18" s="2" t="s">
        <v>5</v>
      </c>
      <c r="D18" s="2" t="s">
        <v>22</v>
      </c>
      <c r="E18" s="2">
        <v>200</v>
      </c>
    </row>
    <row r="19" spans="2:5" x14ac:dyDescent="0.35">
      <c r="B19" s="2" t="s">
        <v>10</v>
      </c>
      <c r="C19" s="2" t="s">
        <v>8</v>
      </c>
      <c r="D19" s="2" t="s">
        <v>15</v>
      </c>
      <c r="E19" s="2">
        <v>230</v>
      </c>
    </row>
    <row r="20" spans="2:5" x14ac:dyDescent="0.35">
      <c r="B20" s="2" t="s">
        <v>13</v>
      </c>
      <c r="C20" s="2" t="s">
        <v>11</v>
      </c>
      <c r="D20" s="2" t="s">
        <v>23</v>
      </c>
      <c r="E20" s="2">
        <v>430</v>
      </c>
    </row>
    <row r="21" spans="2:5" x14ac:dyDescent="0.35">
      <c r="B21" s="2" t="s">
        <v>16</v>
      </c>
      <c r="C21" s="2" t="s">
        <v>14</v>
      </c>
      <c r="D21" s="2" t="s">
        <v>6</v>
      </c>
      <c r="E21" s="2">
        <v>230</v>
      </c>
    </row>
    <row r="22" spans="2:5" x14ac:dyDescent="0.35">
      <c r="B22" s="2" t="s">
        <v>17</v>
      </c>
      <c r="C22" s="2" t="s">
        <v>5</v>
      </c>
      <c r="D22" s="2" t="s">
        <v>9</v>
      </c>
      <c r="E22" s="2">
        <v>430</v>
      </c>
    </row>
    <row r="23" spans="2:5" x14ac:dyDescent="0.35">
      <c r="B23" s="2" t="s">
        <v>18</v>
      </c>
      <c r="C23" s="2" t="s">
        <v>8</v>
      </c>
      <c r="D23" s="2" t="s">
        <v>12</v>
      </c>
      <c r="E23" s="2">
        <v>199</v>
      </c>
    </row>
    <row r="24" spans="2:5" x14ac:dyDescent="0.35">
      <c r="B24" s="2" t="s">
        <v>4</v>
      </c>
      <c r="C24" s="2" t="s">
        <v>11</v>
      </c>
      <c r="D24" s="2" t="s">
        <v>15</v>
      </c>
      <c r="E24" s="2">
        <v>140</v>
      </c>
    </row>
    <row r="25" spans="2:5" x14ac:dyDescent="0.35">
      <c r="B25" s="2" t="s">
        <v>7</v>
      </c>
      <c r="C25" s="2" t="s">
        <v>14</v>
      </c>
      <c r="D25" s="2" t="s">
        <v>9</v>
      </c>
      <c r="E25" s="2">
        <v>260</v>
      </c>
    </row>
    <row r="26" spans="2:5" x14ac:dyDescent="0.35">
      <c r="B26" s="2" t="s">
        <v>10</v>
      </c>
      <c r="C26" s="2" t="s">
        <v>5</v>
      </c>
      <c r="D26" s="2" t="s">
        <v>12</v>
      </c>
      <c r="E26" s="2">
        <v>300</v>
      </c>
    </row>
    <row r="27" spans="2:5" x14ac:dyDescent="0.35">
      <c r="B27" s="2" t="s">
        <v>13</v>
      </c>
      <c r="C27" s="2" t="s">
        <v>8</v>
      </c>
      <c r="D27" s="2" t="s">
        <v>6</v>
      </c>
      <c r="E27" s="2">
        <v>160</v>
      </c>
    </row>
    <row r="28" spans="2:5" x14ac:dyDescent="0.35">
      <c r="B28" s="2" t="s">
        <v>16</v>
      </c>
      <c r="C28" s="2" t="s">
        <v>11</v>
      </c>
      <c r="D28" s="2" t="s">
        <v>9</v>
      </c>
      <c r="E28" s="2">
        <v>176</v>
      </c>
    </row>
    <row r="29" spans="2:5" x14ac:dyDescent="0.35">
      <c r="B29" s="2" t="s">
        <v>17</v>
      </c>
      <c r="C29" s="2" t="s">
        <v>14</v>
      </c>
      <c r="D29" s="2" t="s">
        <v>12</v>
      </c>
      <c r="E29" s="2">
        <v>156</v>
      </c>
    </row>
    <row r="30" spans="2:5" x14ac:dyDescent="0.35">
      <c r="B30" s="2" t="s">
        <v>18</v>
      </c>
      <c r="C30" s="2" t="s">
        <v>5</v>
      </c>
      <c r="D30" s="2" t="s">
        <v>6</v>
      </c>
      <c r="E30" s="2">
        <v>190</v>
      </c>
    </row>
    <row r="31" spans="2:5" x14ac:dyDescent="0.35">
      <c r="B31" s="2" t="s">
        <v>4</v>
      </c>
      <c r="C31" s="2" t="s">
        <v>8</v>
      </c>
      <c r="D31" s="2" t="s">
        <v>9</v>
      </c>
      <c r="E31" s="2">
        <v>144</v>
      </c>
    </row>
    <row r="32" spans="2:5" x14ac:dyDescent="0.35">
      <c r="B32" s="2" t="s">
        <v>7</v>
      </c>
      <c r="C32" s="2" t="s">
        <v>11</v>
      </c>
      <c r="D32" s="2" t="s">
        <v>12</v>
      </c>
      <c r="E32" s="2">
        <v>155</v>
      </c>
    </row>
    <row r="33" spans="2:5" x14ac:dyDescent="0.35">
      <c r="B33" s="2" t="s">
        <v>10</v>
      </c>
      <c r="C33" s="2" t="s">
        <v>5</v>
      </c>
      <c r="D33" s="2" t="s">
        <v>19</v>
      </c>
      <c r="E33" s="2">
        <v>166</v>
      </c>
    </row>
    <row r="34" spans="2:5" x14ac:dyDescent="0.35">
      <c r="B34" s="2" t="s">
        <v>13</v>
      </c>
      <c r="C34" s="2" t="s">
        <v>8</v>
      </c>
      <c r="D34" s="2" t="s">
        <v>20</v>
      </c>
      <c r="E34" s="2">
        <v>144</v>
      </c>
    </row>
    <row r="35" spans="2:5" x14ac:dyDescent="0.35">
      <c r="B35" s="2" t="s">
        <v>16</v>
      </c>
      <c r="C35" s="2" t="s">
        <v>11</v>
      </c>
      <c r="D35" s="2" t="s">
        <v>21</v>
      </c>
      <c r="E35" s="2">
        <v>177</v>
      </c>
    </row>
    <row r="36" spans="2:5" x14ac:dyDescent="0.35">
      <c r="B36" s="2" t="s">
        <v>17</v>
      </c>
      <c r="C36" s="2" t="s">
        <v>14</v>
      </c>
      <c r="D36" s="2" t="s">
        <v>22</v>
      </c>
      <c r="E36" s="2">
        <v>199</v>
      </c>
    </row>
    <row r="37" spans="2:5" x14ac:dyDescent="0.35">
      <c r="B37" s="2" t="s">
        <v>18</v>
      </c>
      <c r="C37" s="2" t="s">
        <v>5</v>
      </c>
      <c r="D37" s="2" t="s">
        <v>15</v>
      </c>
      <c r="E37" s="2">
        <v>200</v>
      </c>
    </row>
    <row r="38" spans="2:5" x14ac:dyDescent="0.35">
      <c r="B38" s="2" t="s">
        <v>4</v>
      </c>
      <c r="C38" s="2" t="s">
        <v>8</v>
      </c>
      <c r="D38" s="2" t="s">
        <v>23</v>
      </c>
      <c r="E38" s="2">
        <v>230</v>
      </c>
    </row>
    <row r="39" spans="2:5" x14ac:dyDescent="0.35">
      <c r="B39" s="2" t="s">
        <v>7</v>
      </c>
      <c r="C39" s="2" t="s">
        <v>11</v>
      </c>
      <c r="D39" s="2" t="s">
        <v>6</v>
      </c>
      <c r="E39" s="2">
        <v>430</v>
      </c>
    </row>
    <row r="40" spans="2:5" x14ac:dyDescent="0.35">
      <c r="B40" s="2" t="s">
        <v>10</v>
      </c>
      <c r="C40" s="2" t="s">
        <v>14</v>
      </c>
      <c r="D40" s="2" t="s">
        <v>9</v>
      </c>
      <c r="E40" s="2">
        <v>230</v>
      </c>
    </row>
    <row r="41" spans="2:5" x14ac:dyDescent="0.35">
      <c r="B41" s="2" t="s">
        <v>13</v>
      </c>
      <c r="C41" s="2" t="s">
        <v>5</v>
      </c>
      <c r="D41" s="2" t="s">
        <v>12</v>
      </c>
      <c r="E41" s="2">
        <v>430</v>
      </c>
    </row>
    <row r="42" spans="2:5" x14ac:dyDescent="0.35">
      <c r="B42" s="2" t="s">
        <v>16</v>
      </c>
      <c r="C42" s="2" t="s">
        <v>8</v>
      </c>
      <c r="D42" s="2" t="s">
        <v>15</v>
      </c>
      <c r="E42" s="2">
        <v>199</v>
      </c>
    </row>
    <row r="43" spans="2:5" x14ac:dyDescent="0.35">
      <c r="B43" s="2" t="s">
        <v>17</v>
      </c>
      <c r="C43" s="2" t="s">
        <v>11</v>
      </c>
      <c r="D43" s="2" t="s">
        <v>9</v>
      </c>
      <c r="E43" s="2">
        <v>140</v>
      </c>
    </row>
    <row r="44" spans="2:5" x14ac:dyDescent="0.35">
      <c r="B44" s="2" t="s">
        <v>18</v>
      </c>
      <c r="C44" s="2" t="s">
        <v>14</v>
      </c>
      <c r="D44" s="2" t="s">
        <v>12</v>
      </c>
      <c r="E44" s="2">
        <v>260</v>
      </c>
    </row>
    <row r="45" spans="2:5" x14ac:dyDescent="0.35">
      <c r="B45" s="2" t="s">
        <v>4</v>
      </c>
      <c r="C45" s="2" t="s">
        <v>5</v>
      </c>
      <c r="D45" s="2" t="s">
        <v>6</v>
      </c>
      <c r="E45" s="2">
        <v>300</v>
      </c>
    </row>
    <row r="46" spans="2:5" x14ac:dyDescent="0.35">
      <c r="B46" s="2" t="s">
        <v>7</v>
      </c>
      <c r="C46" s="2" t="s">
        <v>8</v>
      </c>
      <c r="D46" s="2" t="s">
        <v>9</v>
      </c>
      <c r="E46" s="2">
        <v>160</v>
      </c>
    </row>
    <row r="47" spans="2:5" x14ac:dyDescent="0.35">
      <c r="B47" s="2" t="s">
        <v>10</v>
      </c>
      <c r="C47" s="2" t="s">
        <v>11</v>
      </c>
      <c r="D47" s="2" t="s">
        <v>12</v>
      </c>
      <c r="E47" s="2">
        <v>176</v>
      </c>
    </row>
    <row r="48" spans="2:5" x14ac:dyDescent="0.35">
      <c r="B48" s="2" t="s">
        <v>13</v>
      </c>
      <c r="C48" s="2" t="s">
        <v>5</v>
      </c>
      <c r="D48" s="2" t="s">
        <v>6</v>
      </c>
      <c r="E48" s="2">
        <v>156</v>
      </c>
    </row>
    <row r="49" spans="2:5" x14ac:dyDescent="0.35">
      <c r="B49" s="2" t="s">
        <v>16</v>
      </c>
      <c r="C49" s="2" t="s">
        <v>8</v>
      </c>
      <c r="D49" s="2" t="s">
        <v>9</v>
      </c>
      <c r="E49" s="2">
        <v>190</v>
      </c>
    </row>
    <row r="50" spans="2:5" x14ac:dyDescent="0.35">
      <c r="B50" s="2" t="s">
        <v>17</v>
      </c>
      <c r="C50" s="2" t="s">
        <v>11</v>
      </c>
      <c r="D50" s="2" t="s">
        <v>12</v>
      </c>
      <c r="E50" s="2">
        <v>144</v>
      </c>
    </row>
    <row r="51" spans="2:5" x14ac:dyDescent="0.35">
      <c r="B51" s="2" t="s">
        <v>18</v>
      </c>
      <c r="C51" s="2" t="s">
        <v>14</v>
      </c>
      <c r="D51" s="2" t="s">
        <v>19</v>
      </c>
      <c r="E51" s="2">
        <v>155</v>
      </c>
    </row>
    <row r="52" spans="2:5" x14ac:dyDescent="0.35">
      <c r="B52" s="2" t="s">
        <v>4</v>
      </c>
      <c r="C52" s="2" t="s">
        <v>5</v>
      </c>
      <c r="D52" s="2" t="s">
        <v>20</v>
      </c>
      <c r="E52" s="2">
        <v>166</v>
      </c>
    </row>
    <row r="53" spans="2:5" x14ac:dyDescent="0.35">
      <c r="B53" s="2" t="s">
        <v>7</v>
      </c>
      <c r="C53" s="2" t="s">
        <v>8</v>
      </c>
      <c r="D53" s="2" t="s">
        <v>21</v>
      </c>
      <c r="E53" s="2">
        <v>144</v>
      </c>
    </row>
    <row r="54" spans="2:5" x14ac:dyDescent="0.35">
      <c r="B54" s="2" t="s">
        <v>10</v>
      </c>
      <c r="C54" s="2" t="s">
        <v>11</v>
      </c>
      <c r="D54" s="2" t="s">
        <v>22</v>
      </c>
      <c r="E54" s="2">
        <v>177</v>
      </c>
    </row>
    <row r="55" spans="2:5" x14ac:dyDescent="0.35">
      <c r="B55" s="2" t="s">
        <v>13</v>
      </c>
      <c r="C55" s="2" t="s">
        <v>14</v>
      </c>
      <c r="D55" s="2" t="s">
        <v>15</v>
      </c>
      <c r="E55" s="2">
        <v>199</v>
      </c>
    </row>
    <row r="56" spans="2:5" x14ac:dyDescent="0.35">
      <c r="B56" s="2" t="s">
        <v>16</v>
      </c>
      <c r="C56" s="2" t="s">
        <v>5</v>
      </c>
      <c r="D56" s="2" t="s">
        <v>23</v>
      </c>
      <c r="E56" s="2">
        <v>200</v>
      </c>
    </row>
    <row r="57" spans="2:5" x14ac:dyDescent="0.35">
      <c r="B57" s="2" t="s">
        <v>17</v>
      </c>
      <c r="C57" s="2" t="s">
        <v>8</v>
      </c>
      <c r="D57" s="2" t="s">
        <v>6</v>
      </c>
      <c r="E57" s="2">
        <v>230</v>
      </c>
    </row>
    <row r="58" spans="2:5" x14ac:dyDescent="0.35">
      <c r="B58" s="2" t="s">
        <v>18</v>
      </c>
      <c r="C58" s="2" t="s">
        <v>11</v>
      </c>
      <c r="D58" s="2" t="s">
        <v>9</v>
      </c>
      <c r="E58" s="2">
        <v>430</v>
      </c>
    </row>
    <row r="59" spans="2:5" x14ac:dyDescent="0.35">
      <c r="B59" s="2" t="s">
        <v>4</v>
      </c>
      <c r="C59" s="2" t="s">
        <v>14</v>
      </c>
      <c r="D59" s="2" t="s">
        <v>12</v>
      </c>
      <c r="E59" s="2">
        <v>230</v>
      </c>
    </row>
    <row r="60" spans="2:5" x14ac:dyDescent="0.35">
      <c r="B60" s="2" t="s">
        <v>7</v>
      </c>
      <c r="C60" s="2" t="s">
        <v>5</v>
      </c>
      <c r="D60" s="2" t="s">
        <v>15</v>
      </c>
      <c r="E60" s="2">
        <v>430</v>
      </c>
    </row>
    <row r="61" spans="2:5" x14ac:dyDescent="0.35">
      <c r="B61" s="2" t="s">
        <v>10</v>
      </c>
      <c r="C61" s="2" t="s">
        <v>8</v>
      </c>
      <c r="D61" s="2" t="s">
        <v>9</v>
      </c>
      <c r="E61" s="2">
        <v>199</v>
      </c>
    </row>
    <row r="62" spans="2:5" x14ac:dyDescent="0.35">
      <c r="B62" s="2" t="s">
        <v>13</v>
      </c>
      <c r="C62" s="2" t="s">
        <v>11</v>
      </c>
      <c r="D62" s="2" t="s">
        <v>12</v>
      </c>
      <c r="E62" s="2">
        <v>140</v>
      </c>
    </row>
    <row r="63" spans="2:5" x14ac:dyDescent="0.35">
      <c r="B63" s="2" t="s">
        <v>16</v>
      </c>
      <c r="C63" s="2" t="s">
        <v>5</v>
      </c>
      <c r="D63" s="2" t="s">
        <v>6</v>
      </c>
      <c r="E63" s="2">
        <v>260</v>
      </c>
    </row>
    <row r="64" spans="2:5" x14ac:dyDescent="0.35">
      <c r="B64" s="2" t="s">
        <v>17</v>
      </c>
      <c r="C64" s="2" t="s">
        <v>8</v>
      </c>
      <c r="D64" s="2" t="s">
        <v>9</v>
      </c>
      <c r="E64" s="2">
        <v>300</v>
      </c>
    </row>
    <row r="65" spans="2:5" x14ac:dyDescent="0.35">
      <c r="B65" s="2" t="s">
        <v>18</v>
      </c>
      <c r="C65" s="2" t="s">
        <v>11</v>
      </c>
      <c r="D65" s="2" t="s">
        <v>12</v>
      </c>
      <c r="E65" s="2">
        <v>160</v>
      </c>
    </row>
    <row r="66" spans="2:5" x14ac:dyDescent="0.35">
      <c r="B66" s="2" t="s">
        <v>4</v>
      </c>
      <c r="C66" s="2" t="s">
        <v>14</v>
      </c>
      <c r="D66" s="2" t="s">
        <v>6</v>
      </c>
      <c r="E66" s="2">
        <v>176</v>
      </c>
    </row>
    <row r="67" spans="2:5" x14ac:dyDescent="0.35">
      <c r="B67" s="2" t="s">
        <v>7</v>
      </c>
      <c r="C67" s="2" t="s">
        <v>5</v>
      </c>
      <c r="D67" s="2" t="s">
        <v>9</v>
      </c>
      <c r="E67" s="2">
        <v>156</v>
      </c>
    </row>
    <row r="68" spans="2:5" x14ac:dyDescent="0.35">
      <c r="B68" s="2" t="s">
        <v>10</v>
      </c>
      <c r="C68" s="2" t="s">
        <v>8</v>
      </c>
      <c r="D68" s="2" t="s">
        <v>12</v>
      </c>
      <c r="E68" s="2">
        <v>190</v>
      </c>
    </row>
    <row r="69" spans="2:5" x14ac:dyDescent="0.35">
      <c r="B69" s="2" t="s">
        <v>13</v>
      </c>
      <c r="C69" s="2" t="s">
        <v>11</v>
      </c>
      <c r="D69" s="2" t="s">
        <v>19</v>
      </c>
      <c r="E69" s="2">
        <v>144</v>
      </c>
    </row>
    <row r="70" spans="2:5" x14ac:dyDescent="0.35">
      <c r="B70" s="2" t="s">
        <v>16</v>
      </c>
      <c r="C70" s="2" t="s">
        <v>14</v>
      </c>
      <c r="D70" s="2" t="s">
        <v>20</v>
      </c>
      <c r="E70" s="2">
        <v>155</v>
      </c>
    </row>
    <row r="71" spans="2:5" x14ac:dyDescent="0.35">
      <c r="B71" s="2" t="s">
        <v>17</v>
      </c>
      <c r="C71" s="2" t="s">
        <v>5</v>
      </c>
      <c r="D71" s="2" t="s">
        <v>21</v>
      </c>
      <c r="E71" s="2">
        <v>166</v>
      </c>
    </row>
    <row r="72" spans="2:5" x14ac:dyDescent="0.35">
      <c r="B72" s="2" t="s">
        <v>18</v>
      </c>
      <c r="C72" s="2" t="s">
        <v>8</v>
      </c>
      <c r="D72" s="2" t="s">
        <v>22</v>
      </c>
      <c r="E72" s="2">
        <v>144</v>
      </c>
    </row>
    <row r="73" spans="2:5" x14ac:dyDescent="0.35">
      <c r="B73" s="2" t="s">
        <v>4</v>
      </c>
      <c r="C73" s="2" t="s">
        <v>11</v>
      </c>
      <c r="D73" s="2" t="s">
        <v>15</v>
      </c>
      <c r="E73" s="2">
        <v>177</v>
      </c>
    </row>
    <row r="74" spans="2:5" x14ac:dyDescent="0.35">
      <c r="B74" s="2" t="s">
        <v>7</v>
      </c>
      <c r="C74" s="2" t="s">
        <v>14</v>
      </c>
      <c r="D74" s="2" t="s">
        <v>23</v>
      </c>
      <c r="E74" s="2">
        <v>199</v>
      </c>
    </row>
    <row r="75" spans="2:5" x14ac:dyDescent="0.35">
      <c r="B75" s="2" t="s">
        <v>10</v>
      </c>
      <c r="C75" s="2" t="s">
        <v>5</v>
      </c>
      <c r="D75" s="2" t="s">
        <v>6</v>
      </c>
      <c r="E75" s="2">
        <v>200</v>
      </c>
    </row>
    <row r="76" spans="2:5" x14ac:dyDescent="0.35">
      <c r="B76" s="2" t="s">
        <v>13</v>
      </c>
      <c r="C76" s="2" t="s">
        <v>8</v>
      </c>
      <c r="D76" s="2" t="s">
        <v>9</v>
      </c>
      <c r="E76" s="2">
        <v>230</v>
      </c>
    </row>
    <row r="77" spans="2:5" x14ac:dyDescent="0.35">
      <c r="B77" s="2" t="s">
        <v>16</v>
      </c>
      <c r="C77" s="2" t="s">
        <v>11</v>
      </c>
      <c r="D77" s="2" t="s">
        <v>12</v>
      </c>
      <c r="E77" s="2">
        <v>430</v>
      </c>
    </row>
    <row r="78" spans="2:5" x14ac:dyDescent="0.35">
      <c r="B78" s="2" t="s">
        <v>17</v>
      </c>
      <c r="C78" s="2" t="s">
        <v>5</v>
      </c>
      <c r="D78" s="2" t="s">
        <v>15</v>
      </c>
      <c r="E78" s="2">
        <v>230</v>
      </c>
    </row>
    <row r="79" spans="2:5" x14ac:dyDescent="0.35">
      <c r="B79" s="2" t="s">
        <v>18</v>
      </c>
      <c r="C79" s="2" t="s">
        <v>8</v>
      </c>
      <c r="D79" s="2" t="s">
        <v>9</v>
      </c>
      <c r="E79" s="2">
        <v>430</v>
      </c>
    </row>
    <row r="80" spans="2:5" x14ac:dyDescent="0.35">
      <c r="B80" s="2" t="s">
        <v>4</v>
      </c>
      <c r="C80" s="2" t="s">
        <v>11</v>
      </c>
      <c r="D80" s="2" t="s">
        <v>12</v>
      </c>
      <c r="E80" s="2">
        <v>199</v>
      </c>
    </row>
    <row r="81" spans="2:5" x14ac:dyDescent="0.35">
      <c r="B81" s="2" t="s">
        <v>7</v>
      </c>
      <c r="C81" s="2" t="s">
        <v>14</v>
      </c>
      <c r="D81" s="2" t="s">
        <v>6</v>
      </c>
      <c r="E81" s="2">
        <v>140</v>
      </c>
    </row>
    <row r="82" spans="2:5" x14ac:dyDescent="0.35">
      <c r="B82" s="2" t="s">
        <v>10</v>
      </c>
      <c r="C82" s="2" t="s">
        <v>5</v>
      </c>
      <c r="D82" s="2" t="s">
        <v>9</v>
      </c>
      <c r="E82" s="2">
        <v>260</v>
      </c>
    </row>
    <row r="83" spans="2:5" x14ac:dyDescent="0.35">
      <c r="B83" s="2" t="s">
        <v>13</v>
      </c>
      <c r="C83" s="2" t="s">
        <v>8</v>
      </c>
      <c r="D83" s="2" t="s">
        <v>12</v>
      </c>
      <c r="E83" s="2">
        <v>300</v>
      </c>
    </row>
    <row r="84" spans="2:5" x14ac:dyDescent="0.35">
      <c r="B84" s="2" t="s">
        <v>16</v>
      </c>
      <c r="C84" s="2" t="s">
        <v>11</v>
      </c>
      <c r="D84" s="2" t="s">
        <v>6</v>
      </c>
      <c r="E84" s="2">
        <v>144</v>
      </c>
    </row>
    <row r="85" spans="2:5" x14ac:dyDescent="0.35">
      <c r="B85" s="2" t="s">
        <v>17</v>
      </c>
      <c r="C85" s="2" t="s">
        <v>14</v>
      </c>
      <c r="D85" s="2" t="s">
        <v>9</v>
      </c>
      <c r="E85" s="2">
        <v>155</v>
      </c>
    </row>
    <row r="86" spans="2:5" x14ac:dyDescent="0.35">
      <c r="B86" s="2" t="s">
        <v>18</v>
      </c>
      <c r="C86" s="2" t="s">
        <v>5</v>
      </c>
      <c r="D86" s="2" t="s">
        <v>12</v>
      </c>
      <c r="E86" s="2">
        <v>166</v>
      </c>
    </row>
    <row r="87" spans="2:5" x14ac:dyDescent="0.35">
      <c r="B87" s="2" t="s">
        <v>4</v>
      </c>
      <c r="C87" s="2" t="s">
        <v>8</v>
      </c>
      <c r="D87" s="2" t="s">
        <v>19</v>
      </c>
      <c r="E87" s="2">
        <v>144</v>
      </c>
    </row>
    <row r="88" spans="2:5" x14ac:dyDescent="0.35">
      <c r="B88" s="2" t="s">
        <v>7</v>
      </c>
      <c r="C88" s="2" t="s">
        <v>11</v>
      </c>
      <c r="D88" s="2" t="s">
        <v>20</v>
      </c>
      <c r="E88" s="2">
        <v>177</v>
      </c>
    </row>
    <row r="89" spans="2:5" x14ac:dyDescent="0.35">
      <c r="B89" s="2" t="s">
        <v>10</v>
      </c>
      <c r="C89" s="2" t="s">
        <v>14</v>
      </c>
      <c r="D89" s="2" t="s">
        <v>21</v>
      </c>
      <c r="E89" s="2">
        <v>199</v>
      </c>
    </row>
    <row r="90" spans="2:5" x14ac:dyDescent="0.35">
      <c r="B90" s="2" t="s">
        <v>13</v>
      </c>
      <c r="C90" s="2" t="s">
        <v>5</v>
      </c>
      <c r="D90" s="2" t="s">
        <v>22</v>
      </c>
      <c r="E90" s="2">
        <v>200</v>
      </c>
    </row>
    <row r="91" spans="2:5" x14ac:dyDescent="0.35">
      <c r="B91" s="2" t="s">
        <v>16</v>
      </c>
      <c r="C91" s="2" t="s">
        <v>8</v>
      </c>
      <c r="D91" s="2" t="s">
        <v>15</v>
      </c>
      <c r="E91" s="2">
        <v>230</v>
      </c>
    </row>
    <row r="92" spans="2:5" x14ac:dyDescent="0.35">
      <c r="B92" s="2" t="s">
        <v>17</v>
      </c>
      <c r="C92" s="2" t="s">
        <v>11</v>
      </c>
      <c r="D92" s="2" t="s">
        <v>23</v>
      </c>
      <c r="E92" s="2">
        <v>430</v>
      </c>
    </row>
    <row r="93" spans="2:5" x14ac:dyDescent="0.35">
      <c r="B93" s="2" t="s">
        <v>18</v>
      </c>
      <c r="C93" s="2" t="s">
        <v>5</v>
      </c>
      <c r="D93" s="2" t="s">
        <v>6</v>
      </c>
      <c r="E93" s="2">
        <v>230</v>
      </c>
    </row>
    <row r="94" spans="2:5" x14ac:dyDescent="0.35">
      <c r="B94" s="2" t="s">
        <v>4</v>
      </c>
      <c r="C94" s="2" t="s">
        <v>8</v>
      </c>
      <c r="D94" s="2" t="s">
        <v>9</v>
      </c>
      <c r="E94" s="2">
        <v>430</v>
      </c>
    </row>
    <row r="95" spans="2:5" x14ac:dyDescent="0.35">
      <c r="B95" s="2" t="s">
        <v>7</v>
      </c>
      <c r="C95" s="2" t="s">
        <v>11</v>
      </c>
      <c r="D95" s="2" t="s">
        <v>12</v>
      </c>
      <c r="E95" s="2">
        <v>199</v>
      </c>
    </row>
    <row r="96" spans="2:5" x14ac:dyDescent="0.35">
      <c r="B96" s="2" t="s">
        <v>10</v>
      </c>
      <c r="C96" s="2" t="s">
        <v>14</v>
      </c>
      <c r="D96" s="2" t="s">
        <v>15</v>
      </c>
      <c r="E96" s="2">
        <v>140</v>
      </c>
    </row>
    <row r="97" spans="2:5" x14ac:dyDescent="0.35">
      <c r="B97" s="2" t="s">
        <v>13</v>
      </c>
      <c r="C97" s="2" t="s">
        <v>5</v>
      </c>
      <c r="D97" s="2" t="s">
        <v>9</v>
      </c>
      <c r="E97" s="2">
        <v>260</v>
      </c>
    </row>
    <row r="98" spans="2:5" x14ac:dyDescent="0.35">
      <c r="B98" s="2" t="s">
        <v>16</v>
      </c>
      <c r="C98" s="2" t="s">
        <v>8</v>
      </c>
      <c r="D98" s="2" t="s">
        <v>12</v>
      </c>
      <c r="E98" s="2">
        <v>300</v>
      </c>
    </row>
    <row r="99" spans="2:5" x14ac:dyDescent="0.35">
      <c r="B99" s="2" t="s">
        <v>17</v>
      </c>
      <c r="C99" s="2" t="s">
        <v>11</v>
      </c>
      <c r="D99" s="2" t="s">
        <v>6</v>
      </c>
      <c r="E99" s="2">
        <v>160</v>
      </c>
    </row>
    <row r="100" spans="2:5" x14ac:dyDescent="0.35">
      <c r="B100" s="2" t="s">
        <v>18</v>
      </c>
      <c r="C100" s="2" t="s">
        <v>14</v>
      </c>
      <c r="D100" s="2" t="s">
        <v>9</v>
      </c>
      <c r="E100" s="2">
        <v>176</v>
      </c>
    </row>
    <row r="101" spans="2:5" x14ac:dyDescent="0.35">
      <c r="B101" s="2" t="s">
        <v>4</v>
      </c>
      <c r="C101" s="2" t="s">
        <v>5</v>
      </c>
      <c r="D101" s="2" t="s">
        <v>12</v>
      </c>
      <c r="E101" s="2">
        <v>156</v>
      </c>
    </row>
    <row r="102" spans="2:5" x14ac:dyDescent="0.35">
      <c r="B102" s="2" t="s">
        <v>7</v>
      </c>
      <c r="C102" s="2" t="s">
        <v>8</v>
      </c>
      <c r="D102" s="2" t="s">
        <v>6</v>
      </c>
      <c r="E102" s="2">
        <v>190</v>
      </c>
    </row>
    <row r="103" spans="2:5" x14ac:dyDescent="0.35">
      <c r="B103" s="2" t="s">
        <v>10</v>
      </c>
      <c r="C103" s="2" t="s">
        <v>11</v>
      </c>
      <c r="D103" s="2" t="s">
        <v>9</v>
      </c>
      <c r="E103" s="2">
        <v>144</v>
      </c>
    </row>
    <row r="104" spans="2:5" x14ac:dyDescent="0.35">
      <c r="B104" s="2" t="s">
        <v>13</v>
      </c>
      <c r="C104" s="2" t="s">
        <v>14</v>
      </c>
      <c r="D104" s="2" t="s">
        <v>12</v>
      </c>
      <c r="E104" s="2">
        <v>155</v>
      </c>
    </row>
    <row r="105" spans="2:5" x14ac:dyDescent="0.35">
      <c r="B105" s="2" t="s">
        <v>16</v>
      </c>
      <c r="C105" s="2" t="s">
        <v>5</v>
      </c>
      <c r="D105" s="2" t="s">
        <v>19</v>
      </c>
      <c r="E105" s="2">
        <v>166</v>
      </c>
    </row>
    <row r="106" spans="2:5" x14ac:dyDescent="0.35">
      <c r="B106" s="2" t="s">
        <v>17</v>
      </c>
      <c r="C106" s="2" t="s">
        <v>8</v>
      </c>
      <c r="D106" s="2" t="s">
        <v>20</v>
      </c>
      <c r="E106" s="2">
        <v>144</v>
      </c>
    </row>
    <row r="107" spans="2:5" x14ac:dyDescent="0.35">
      <c r="B107" s="2" t="s">
        <v>18</v>
      </c>
      <c r="C107" s="2" t="s">
        <v>11</v>
      </c>
      <c r="D107" s="2" t="s">
        <v>21</v>
      </c>
      <c r="E107" s="2">
        <v>177</v>
      </c>
    </row>
    <row r="108" spans="2:5" x14ac:dyDescent="0.35">
      <c r="B108" s="2" t="s">
        <v>4</v>
      </c>
      <c r="C108" s="2" t="s">
        <v>5</v>
      </c>
      <c r="D108" s="2" t="s">
        <v>22</v>
      </c>
      <c r="E108" s="2">
        <v>199</v>
      </c>
    </row>
    <row r="109" spans="2:5" x14ac:dyDescent="0.35">
      <c r="B109" s="2" t="s">
        <v>7</v>
      </c>
      <c r="C109" s="2" t="s">
        <v>8</v>
      </c>
      <c r="D109" s="2" t="s">
        <v>15</v>
      </c>
      <c r="E109" s="2">
        <v>200</v>
      </c>
    </row>
    <row r="110" spans="2:5" x14ac:dyDescent="0.35">
      <c r="B110" s="2" t="s">
        <v>10</v>
      </c>
      <c r="C110" s="2" t="s">
        <v>11</v>
      </c>
      <c r="D110" s="2" t="s">
        <v>23</v>
      </c>
      <c r="E110" s="2">
        <v>230</v>
      </c>
    </row>
    <row r="111" spans="2:5" x14ac:dyDescent="0.35">
      <c r="B111" s="2" t="s">
        <v>13</v>
      </c>
      <c r="C111" s="2" t="s">
        <v>14</v>
      </c>
      <c r="D111" s="2" t="s">
        <v>6</v>
      </c>
      <c r="E111" s="2">
        <v>430</v>
      </c>
    </row>
    <row r="112" spans="2:5" x14ac:dyDescent="0.35">
      <c r="B112" s="2" t="s">
        <v>16</v>
      </c>
      <c r="C112" s="2" t="s">
        <v>5</v>
      </c>
      <c r="D112" s="2" t="s">
        <v>9</v>
      </c>
      <c r="E112" s="2">
        <v>230</v>
      </c>
    </row>
    <row r="113" spans="2:5" x14ac:dyDescent="0.35">
      <c r="B113" s="2" t="s">
        <v>17</v>
      </c>
      <c r="C113" s="2" t="s">
        <v>8</v>
      </c>
      <c r="D113" s="2" t="s">
        <v>12</v>
      </c>
      <c r="E113" s="2">
        <v>430</v>
      </c>
    </row>
    <row r="114" spans="2:5" x14ac:dyDescent="0.35">
      <c r="B114" s="2" t="s">
        <v>18</v>
      </c>
      <c r="C114" s="2" t="s">
        <v>11</v>
      </c>
      <c r="D114" s="2" t="s">
        <v>15</v>
      </c>
      <c r="E114" s="2">
        <v>199</v>
      </c>
    </row>
    <row r="115" spans="2:5" x14ac:dyDescent="0.35">
      <c r="B115" s="2" t="s">
        <v>4</v>
      </c>
      <c r="C115" s="2" t="s">
        <v>14</v>
      </c>
      <c r="D115" s="2" t="s">
        <v>9</v>
      </c>
      <c r="E115" s="2">
        <v>140</v>
      </c>
    </row>
    <row r="116" spans="2:5" x14ac:dyDescent="0.35">
      <c r="B116" s="2" t="s">
        <v>7</v>
      </c>
      <c r="C116" s="2" t="s">
        <v>5</v>
      </c>
      <c r="D116" s="2" t="s">
        <v>12</v>
      </c>
      <c r="E116" s="2">
        <v>260</v>
      </c>
    </row>
    <row r="117" spans="2:5" x14ac:dyDescent="0.35">
      <c r="B117" s="2" t="s">
        <v>10</v>
      </c>
      <c r="C117" s="2" t="s">
        <v>8</v>
      </c>
      <c r="D117" s="2" t="s">
        <v>6</v>
      </c>
      <c r="E117" s="2">
        <v>300</v>
      </c>
    </row>
    <row r="118" spans="2:5" x14ac:dyDescent="0.35">
      <c r="B118" s="2" t="s">
        <v>13</v>
      </c>
      <c r="C118" s="2" t="s">
        <v>11</v>
      </c>
      <c r="D118" s="2" t="s">
        <v>9</v>
      </c>
      <c r="E118" s="2">
        <v>144</v>
      </c>
    </row>
    <row r="119" spans="2:5" x14ac:dyDescent="0.35">
      <c r="B119" s="2" t="s">
        <v>16</v>
      </c>
      <c r="C119" s="2" t="s">
        <v>14</v>
      </c>
      <c r="D119" s="2" t="s">
        <v>12</v>
      </c>
      <c r="E119" s="2">
        <v>155</v>
      </c>
    </row>
    <row r="120" spans="2:5" x14ac:dyDescent="0.35">
      <c r="B120" s="2" t="s">
        <v>17</v>
      </c>
      <c r="C120" s="2" t="s">
        <v>5</v>
      </c>
      <c r="D120" s="2" t="s">
        <v>6</v>
      </c>
      <c r="E120" s="2">
        <v>166</v>
      </c>
    </row>
    <row r="121" spans="2:5" x14ac:dyDescent="0.35">
      <c r="B121" s="2" t="s">
        <v>18</v>
      </c>
      <c r="C121" s="2" t="s">
        <v>8</v>
      </c>
      <c r="D121" s="2" t="s">
        <v>9</v>
      </c>
      <c r="E121" s="2">
        <v>144</v>
      </c>
    </row>
    <row r="122" spans="2:5" x14ac:dyDescent="0.35">
      <c r="B122" s="2" t="s">
        <v>4</v>
      </c>
      <c r="C122" s="2" t="s">
        <v>11</v>
      </c>
      <c r="D122" s="2" t="s">
        <v>12</v>
      </c>
      <c r="E122" s="2">
        <v>177</v>
      </c>
    </row>
    <row r="123" spans="2:5" x14ac:dyDescent="0.35">
      <c r="B123" s="2" t="s">
        <v>7</v>
      </c>
      <c r="C123" s="2" t="s">
        <v>5</v>
      </c>
      <c r="D123" s="2" t="s">
        <v>19</v>
      </c>
      <c r="E123" s="2">
        <v>199</v>
      </c>
    </row>
    <row r="124" spans="2:5" x14ac:dyDescent="0.35">
      <c r="B124" s="2" t="s">
        <v>10</v>
      </c>
      <c r="C124" s="2" t="s">
        <v>8</v>
      </c>
      <c r="D124" s="2" t="s">
        <v>20</v>
      </c>
      <c r="E124" s="2">
        <v>200</v>
      </c>
    </row>
    <row r="125" spans="2:5" x14ac:dyDescent="0.35">
      <c r="B125" s="2" t="s">
        <v>13</v>
      </c>
      <c r="C125" s="2" t="s">
        <v>11</v>
      </c>
      <c r="D125" s="2" t="s">
        <v>21</v>
      </c>
      <c r="E125" s="2">
        <v>230</v>
      </c>
    </row>
    <row r="126" spans="2:5" x14ac:dyDescent="0.35">
      <c r="B126" s="2" t="s">
        <v>16</v>
      </c>
      <c r="C126" s="2" t="s">
        <v>14</v>
      </c>
      <c r="D126" s="2" t="s">
        <v>22</v>
      </c>
      <c r="E126" s="2">
        <v>430</v>
      </c>
    </row>
    <row r="127" spans="2:5" x14ac:dyDescent="0.35">
      <c r="B127" s="2" t="s">
        <v>17</v>
      </c>
      <c r="C127" s="2" t="s">
        <v>5</v>
      </c>
      <c r="D127" s="2" t="s">
        <v>15</v>
      </c>
      <c r="E127" s="2">
        <v>230</v>
      </c>
    </row>
    <row r="128" spans="2:5" x14ac:dyDescent="0.35">
      <c r="B128" s="2" t="s">
        <v>18</v>
      </c>
      <c r="C128" s="2" t="s">
        <v>8</v>
      </c>
      <c r="D128" s="2" t="s">
        <v>23</v>
      </c>
      <c r="E128" s="2">
        <v>430</v>
      </c>
    </row>
    <row r="129" spans="2:5" x14ac:dyDescent="0.35">
      <c r="B129" s="2" t="s">
        <v>4</v>
      </c>
      <c r="C129" s="2" t="s">
        <v>11</v>
      </c>
      <c r="D129" s="2" t="s">
        <v>6</v>
      </c>
      <c r="E129" s="2">
        <v>199</v>
      </c>
    </row>
    <row r="130" spans="2:5" x14ac:dyDescent="0.35">
      <c r="B130" s="2" t="s">
        <v>7</v>
      </c>
      <c r="C130" s="2" t="s">
        <v>14</v>
      </c>
      <c r="D130" s="2" t="s">
        <v>9</v>
      </c>
      <c r="E130" s="2">
        <v>140</v>
      </c>
    </row>
    <row r="131" spans="2:5" x14ac:dyDescent="0.35">
      <c r="B131" s="2" t="s">
        <v>10</v>
      </c>
      <c r="C131" s="2" t="s">
        <v>5</v>
      </c>
      <c r="D131" s="2" t="s">
        <v>12</v>
      </c>
      <c r="E131" s="2">
        <v>260</v>
      </c>
    </row>
    <row r="132" spans="2:5" x14ac:dyDescent="0.35">
      <c r="B132" s="2" t="s">
        <v>13</v>
      </c>
      <c r="C132" s="2" t="s">
        <v>8</v>
      </c>
      <c r="D132" s="2" t="s">
        <v>15</v>
      </c>
      <c r="E132" s="2">
        <v>300</v>
      </c>
    </row>
    <row r="133" spans="2:5" x14ac:dyDescent="0.35">
      <c r="B133" s="2" t="s">
        <v>16</v>
      </c>
      <c r="C133" s="2" t="s">
        <v>11</v>
      </c>
      <c r="D133" s="2" t="s">
        <v>9</v>
      </c>
      <c r="E133" s="2">
        <v>160</v>
      </c>
    </row>
    <row r="134" spans="2:5" x14ac:dyDescent="0.35">
      <c r="B134" s="2" t="s">
        <v>17</v>
      </c>
      <c r="C134" s="2" t="s">
        <v>14</v>
      </c>
      <c r="D134" s="2" t="s">
        <v>12</v>
      </c>
      <c r="E134" s="2">
        <v>176</v>
      </c>
    </row>
    <row r="135" spans="2:5" x14ac:dyDescent="0.35">
      <c r="B135" s="2" t="s">
        <v>18</v>
      </c>
      <c r="C135" s="2" t="s">
        <v>5</v>
      </c>
      <c r="D135" s="2" t="s">
        <v>6</v>
      </c>
      <c r="E135" s="2">
        <v>156</v>
      </c>
    </row>
    <row r="136" spans="2:5" x14ac:dyDescent="0.35">
      <c r="B136" s="2" t="s">
        <v>4</v>
      </c>
      <c r="C136" s="2" t="s">
        <v>8</v>
      </c>
      <c r="D136" s="2" t="s">
        <v>9</v>
      </c>
      <c r="E136" s="2">
        <v>190</v>
      </c>
    </row>
    <row r="137" spans="2:5" x14ac:dyDescent="0.35">
      <c r="B137" s="2" t="s">
        <v>7</v>
      </c>
      <c r="C137" s="2" t="s">
        <v>11</v>
      </c>
      <c r="D137" s="2" t="s">
        <v>12</v>
      </c>
      <c r="E137" s="2">
        <v>144</v>
      </c>
    </row>
    <row r="138" spans="2:5" x14ac:dyDescent="0.35">
      <c r="B138" s="2" t="s">
        <v>10</v>
      </c>
      <c r="C138" s="2" t="s">
        <v>5</v>
      </c>
      <c r="D138" s="2" t="s">
        <v>6</v>
      </c>
      <c r="E138" s="2">
        <v>155</v>
      </c>
    </row>
    <row r="139" spans="2:5" x14ac:dyDescent="0.35">
      <c r="B139" s="2" t="s">
        <v>13</v>
      </c>
      <c r="C139" s="2" t="s">
        <v>8</v>
      </c>
      <c r="D139" s="2" t="s">
        <v>9</v>
      </c>
      <c r="E139" s="2">
        <v>166</v>
      </c>
    </row>
    <row r="140" spans="2:5" x14ac:dyDescent="0.35">
      <c r="B140" s="2" t="s">
        <v>16</v>
      </c>
      <c r="C140" s="2" t="s">
        <v>11</v>
      </c>
      <c r="D140" s="2" t="s">
        <v>12</v>
      </c>
      <c r="E140" s="2">
        <v>144</v>
      </c>
    </row>
    <row r="141" spans="2:5" x14ac:dyDescent="0.35">
      <c r="B141" s="2" t="s">
        <v>17</v>
      </c>
      <c r="C141" s="2" t="s">
        <v>14</v>
      </c>
      <c r="D141" s="2" t="s">
        <v>19</v>
      </c>
      <c r="E141" s="2">
        <v>177</v>
      </c>
    </row>
    <row r="142" spans="2:5" x14ac:dyDescent="0.35">
      <c r="B142" s="2" t="s">
        <v>18</v>
      </c>
      <c r="C142" s="2" t="s">
        <v>5</v>
      </c>
      <c r="D142" s="2" t="s">
        <v>20</v>
      </c>
      <c r="E142" s="2">
        <v>199</v>
      </c>
    </row>
    <row r="143" spans="2:5" x14ac:dyDescent="0.35">
      <c r="B143" s="2" t="s">
        <v>4</v>
      </c>
      <c r="C143" s="2" t="s">
        <v>8</v>
      </c>
      <c r="D143" s="2" t="s">
        <v>21</v>
      </c>
      <c r="E143" s="2">
        <v>200</v>
      </c>
    </row>
    <row r="144" spans="2:5" x14ac:dyDescent="0.35">
      <c r="B144" s="2" t="s">
        <v>7</v>
      </c>
      <c r="C144" s="2" t="s">
        <v>11</v>
      </c>
      <c r="D144" s="2" t="s">
        <v>22</v>
      </c>
      <c r="E144" s="2">
        <v>230</v>
      </c>
    </row>
    <row r="145" spans="2:5" x14ac:dyDescent="0.35">
      <c r="B145" s="2" t="s">
        <v>10</v>
      </c>
      <c r="C145" s="2" t="s">
        <v>14</v>
      </c>
      <c r="D145" s="2" t="s">
        <v>15</v>
      </c>
      <c r="E145" s="2">
        <v>430</v>
      </c>
    </row>
    <row r="146" spans="2:5" x14ac:dyDescent="0.35">
      <c r="B146" s="2" t="s">
        <v>13</v>
      </c>
      <c r="C146" s="2" t="s">
        <v>5</v>
      </c>
      <c r="D146" s="2" t="s">
        <v>23</v>
      </c>
      <c r="E146" s="2">
        <v>230</v>
      </c>
    </row>
    <row r="147" spans="2:5" x14ac:dyDescent="0.35">
      <c r="B147" s="2" t="s">
        <v>16</v>
      </c>
      <c r="C147" s="2" t="s">
        <v>8</v>
      </c>
      <c r="D147" s="2" t="s">
        <v>6</v>
      </c>
      <c r="E147" s="2">
        <v>430</v>
      </c>
    </row>
    <row r="148" spans="2:5" x14ac:dyDescent="0.35">
      <c r="B148" s="2" t="s">
        <v>17</v>
      </c>
      <c r="C148" s="2" t="s">
        <v>11</v>
      </c>
      <c r="D148" s="2" t="s">
        <v>9</v>
      </c>
      <c r="E148" s="2">
        <v>199</v>
      </c>
    </row>
    <row r="149" spans="2:5" x14ac:dyDescent="0.35">
      <c r="B149" s="2" t="s">
        <v>18</v>
      </c>
      <c r="C149" s="2" t="s">
        <v>14</v>
      </c>
      <c r="D149" s="2" t="s">
        <v>12</v>
      </c>
      <c r="E149" s="2">
        <v>140</v>
      </c>
    </row>
    <row r="150" spans="2:5" x14ac:dyDescent="0.35">
      <c r="B150" s="2" t="s">
        <v>4</v>
      </c>
      <c r="C150" s="2" t="s">
        <v>5</v>
      </c>
      <c r="D150" s="2" t="s">
        <v>15</v>
      </c>
      <c r="E150" s="2">
        <v>260</v>
      </c>
    </row>
    <row r="151" spans="2:5" x14ac:dyDescent="0.35">
      <c r="B151" s="2" t="s">
        <v>7</v>
      </c>
      <c r="C151" s="2" t="s">
        <v>8</v>
      </c>
      <c r="D151" s="2" t="s">
        <v>9</v>
      </c>
      <c r="E151" s="2">
        <v>300</v>
      </c>
    </row>
    <row r="152" spans="2:5" x14ac:dyDescent="0.35">
      <c r="B152" s="2" t="s">
        <v>10</v>
      </c>
      <c r="C152" s="2" t="s">
        <v>11</v>
      </c>
      <c r="D152" s="2" t="s">
        <v>12</v>
      </c>
      <c r="E152" s="2">
        <v>144</v>
      </c>
    </row>
    <row r="153" spans="2:5" x14ac:dyDescent="0.35">
      <c r="B153" s="2" t="s">
        <v>13</v>
      </c>
      <c r="C153" s="2" t="s">
        <v>5</v>
      </c>
      <c r="D153" s="2" t="s">
        <v>6</v>
      </c>
      <c r="E153" s="2">
        <v>155</v>
      </c>
    </row>
    <row r="154" spans="2:5" x14ac:dyDescent="0.35">
      <c r="B154" s="2" t="s">
        <v>16</v>
      </c>
      <c r="C154" s="2" t="s">
        <v>8</v>
      </c>
      <c r="D154" s="2" t="s">
        <v>9</v>
      </c>
      <c r="E154" s="2">
        <v>166</v>
      </c>
    </row>
    <row r="155" spans="2:5" x14ac:dyDescent="0.35">
      <c r="B155" s="2" t="s">
        <v>17</v>
      </c>
      <c r="C155" s="2" t="s">
        <v>11</v>
      </c>
      <c r="D155" s="2" t="s">
        <v>12</v>
      </c>
      <c r="E155" s="2">
        <v>144</v>
      </c>
    </row>
    <row r="156" spans="2:5" x14ac:dyDescent="0.35">
      <c r="B156" s="2" t="s">
        <v>18</v>
      </c>
      <c r="C156" s="2" t="s">
        <v>14</v>
      </c>
      <c r="D156" s="2" t="s">
        <v>6</v>
      </c>
      <c r="E156" s="2">
        <v>177</v>
      </c>
    </row>
    <row r="157" spans="2:5" x14ac:dyDescent="0.35">
      <c r="B157" s="2" t="s">
        <v>4</v>
      </c>
      <c r="C157" s="2" t="s">
        <v>5</v>
      </c>
      <c r="D157" s="2" t="s">
        <v>9</v>
      </c>
      <c r="E157" s="2">
        <v>199</v>
      </c>
    </row>
    <row r="158" spans="2:5" x14ac:dyDescent="0.35">
      <c r="B158" s="2" t="s">
        <v>7</v>
      </c>
      <c r="C158" s="2" t="s">
        <v>8</v>
      </c>
      <c r="D158" s="2" t="s">
        <v>12</v>
      </c>
      <c r="E158" s="2">
        <v>200</v>
      </c>
    </row>
    <row r="159" spans="2:5" x14ac:dyDescent="0.35">
      <c r="B159" s="2" t="s">
        <v>10</v>
      </c>
      <c r="C159" s="2" t="s">
        <v>11</v>
      </c>
      <c r="D159" s="2" t="s">
        <v>19</v>
      </c>
      <c r="E159" s="2">
        <v>230</v>
      </c>
    </row>
    <row r="160" spans="2:5" x14ac:dyDescent="0.35">
      <c r="B160" s="2" t="s">
        <v>13</v>
      </c>
      <c r="C160" s="2" t="s">
        <v>14</v>
      </c>
      <c r="D160" s="2" t="s">
        <v>20</v>
      </c>
      <c r="E160" s="2">
        <v>430</v>
      </c>
    </row>
    <row r="161" spans="2:5" x14ac:dyDescent="0.35">
      <c r="B161" s="2" t="s">
        <v>16</v>
      </c>
      <c r="C161" s="2" t="s">
        <v>5</v>
      </c>
      <c r="D161" s="2" t="s">
        <v>21</v>
      </c>
      <c r="E161" s="2">
        <v>230</v>
      </c>
    </row>
    <row r="162" spans="2:5" x14ac:dyDescent="0.35">
      <c r="B162" s="2" t="s">
        <v>17</v>
      </c>
      <c r="C162" s="2" t="s">
        <v>8</v>
      </c>
      <c r="D162" s="2" t="s">
        <v>22</v>
      </c>
      <c r="E162" s="2">
        <v>430</v>
      </c>
    </row>
    <row r="163" spans="2:5" x14ac:dyDescent="0.35">
      <c r="B163" s="2" t="s">
        <v>18</v>
      </c>
      <c r="C163" s="2" t="s">
        <v>11</v>
      </c>
      <c r="D163" s="2" t="s">
        <v>15</v>
      </c>
      <c r="E163" s="2">
        <v>199</v>
      </c>
    </row>
    <row r="164" spans="2:5" x14ac:dyDescent="0.35">
      <c r="B164" s="2" t="s">
        <v>4</v>
      </c>
      <c r="C164" s="2" t="s">
        <v>14</v>
      </c>
      <c r="D164" s="2" t="s">
        <v>23</v>
      </c>
      <c r="E164" s="2">
        <v>140</v>
      </c>
    </row>
    <row r="165" spans="2:5" x14ac:dyDescent="0.35">
      <c r="B165" s="2" t="s">
        <v>7</v>
      </c>
      <c r="C165" s="2" t="s">
        <v>5</v>
      </c>
      <c r="D165" s="2" t="s">
        <v>6</v>
      </c>
      <c r="E165" s="2">
        <v>260</v>
      </c>
    </row>
    <row r="166" spans="2:5" x14ac:dyDescent="0.35">
      <c r="B166" s="2" t="s">
        <v>10</v>
      </c>
      <c r="C166" s="2" t="s">
        <v>8</v>
      </c>
      <c r="D166" s="2" t="s">
        <v>9</v>
      </c>
      <c r="E166" s="2">
        <v>300</v>
      </c>
    </row>
    <row r="167" spans="2:5" x14ac:dyDescent="0.35">
      <c r="B167" s="2" t="s">
        <v>13</v>
      </c>
      <c r="C167" s="2" t="s">
        <v>11</v>
      </c>
      <c r="D167" s="2" t="s">
        <v>12</v>
      </c>
      <c r="E167" s="2">
        <v>160</v>
      </c>
    </row>
    <row r="168" spans="2:5" x14ac:dyDescent="0.35">
      <c r="B168" s="2" t="s">
        <v>16</v>
      </c>
      <c r="C168" s="2" t="s">
        <v>5</v>
      </c>
      <c r="D168" s="2" t="s">
        <v>15</v>
      </c>
      <c r="E168" s="2">
        <v>176</v>
      </c>
    </row>
    <row r="169" spans="2:5" x14ac:dyDescent="0.35">
      <c r="B169" s="2" t="s">
        <v>17</v>
      </c>
      <c r="C169" s="2" t="s">
        <v>8</v>
      </c>
      <c r="D169" s="2" t="s">
        <v>9</v>
      </c>
      <c r="E169" s="2">
        <v>156</v>
      </c>
    </row>
    <row r="170" spans="2:5" x14ac:dyDescent="0.35">
      <c r="B170" s="2" t="s">
        <v>18</v>
      </c>
      <c r="C170" s="2" t="s">
        <v>11</v>
      </c>
      <c r="D170" s="2" t="s">
        <v>12</v>
      </c>
      <c r="E170" s="2">
        <v>190</v>
      </c>
    </row>
    <row r="171" spans="2:5" x14ac:dyDescent="0.35">
      <c r="B171" s="2" t="s">
        <v>4</v>
      </c>
      <c r="C171" s="2" t="s">
        <v>14</v>
      </c>
      <c r="D171" s="2" t="s">
        <v>6</v>
      </c>
      <c r="E171" s="2">
        <v>144</v>
      </c>
    </row>
    <row r="172" spans="2:5" x14ac:dyDescent="0.35">
      <c r="B172" s="2" t="s">
        <v>7</v>
      </c>
      <c r="C172" s="2" t="s">
        <v>5</v>
      </c>
      <c r="D172" s="2" t="s">
        <v>24</v>
      </c>
      <c r="E172" s="2">
        <v>1000</v>
      </c>
    </row>
    <row r="173" spans="2:5" x14ac:dyDescent="0.35">
      <c r="B173" s="2" t="s">
        <v>10</v>
      </c>
      <c r="C173" s="2" t="s">
        <v>8</v>
      </c>
      <c r="D173" s="2" t="s">
        <v>24</v>
      </c>
      <c r="E173" s="2">
        <v>156</v>
      </c>
    </row>
    <row r="174" spans="2:5" x14ac:dyDescent="0.35">
      <c r="B174" s="2" t="s">
        <v>13</v>
      </c>
      <c r="C174" s="2" t="s">
        <v>11</v>
      </c>
      <c r="D174" s="2" t="s">
        <v>24</v>
      </c>
      <c r="E174" s="2">
        <v>190</v>
      </c>
    </row>
    <row r="175" spans="2:5" x14ac:dyDescent="0.35">
      <c r="B175" s="2" t="s">
        <v>4</v>
      </c>
      <c r="C175" s="2" t="s">
        <v>14</v>
      </c>
      <c r="D175" s="2" t="s">
        <v>24</v>
      </c>
      <c r="E175" s="2">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Sheet5</vt:lpstr>
      <vt:lpstr>Sheet6</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Virendra Kumar Sah</dc:creator>
  <cp:lastModifiedBy>Virendra Kumar Sah</cp:lastModifiedBy>
  <dcterms:created xsi:type="dcterms:W3CDTF">2025-11-22T05:43:53Z</dcterms:created>
  <dcterms:modified xsi:type="dcterms:W3CDTF">2025-11-22T17:49:18Z</dcterms:modified>
</cp:coreProperties>
</file>